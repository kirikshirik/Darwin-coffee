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ктябрь 2025" sheetId="1" r:id="rId5"/>
    <sheet state="visible" name="Ноябрь 2025" sheetId="2" r:id="rId6"/>
    <sheet state="visible" name="Декабрь 2025" sheetId="3" r:id="rId7"/>
    <sheet state="visible" name="Январь 2026" sheetId="4" r:id="rId8"/>
    <sheet state="visible" name="Февраль 2026" sheetId="5" r:id="rId9"/>
    <sheet state="visible" name="Март 2026" sheetId="6" r:id="rId10"/>
    <sheet state="visible" name="Апрель 2026" sheetId="7" r:id="rId11"/>
    <sheet state="visible" name="Май2026" sheetId="8" r:id="rId12"/>
  </sheets>
  <definedNames/>
  <calcPr/>
</workbook>
</file>

<file path=xl/sharedStrings.xml><?xml version="1.0" encoding="utf-8"?>
<sst xmlns="http://schemas.openxmlformats.org/spreadsheetml/2006/main" count="234" uniqueCount="58">
  <si>
    <t>число</t>
  </si>
  <si>
    <t>без.нал</t>
  </si>
  <si>
    <t>нал</t>
  </si>
  <si>
    <t>общая сумма</t>
  </si>
  <si>
    <t>Аренда</t>
  </si>
  <si>
    <t>Зарплата</t>
  </si>
  <si>
    <t>Food cost</t>
  </si>
  <si>
    <t>Описание</t>
  </si>
  <si>
    <t>Прочее</t>
  </si>
  <si>
    <t>Маркетинг</t>
  </si>
  <si>
    <t>Маржа</t>
  </si>
  <si>
    <t xml:space="preserve">Утро </t>
  </si>
  <si>
    <t>Вечер</t>
  </si>
  <si>
    <t>Утро</t>
  </si>
  <si>
    <t xml:space="preserve">Вечер </t>
  </si>
  <si>
    <t xml:space="preserve">Сливки </t>
  </si>
  <si>
    <t>Зерно</t>
  </si>
  <si>
    <t>безнал</t>
  </si>
  <si>
    <t xml:space="preserve">Молоко </t>
  </si>
  <si>
    <t>карта</t>
  </si>
  <si>
    <t>Бариста. Ру</t>
  </si>
  <si>
    <t xml:space="preserve">Выпечка </t>
  </si>
  <si>
    <t xml:space="preserve">Десерты фентази </t>
  </si>
  <si>
    <t xml:space="preserve">Офис маг </t>
  </si>
  <si>
    <t xml:space="preserve">Магнит </t>
  </si>
  <si>
    <t xml:space="preserve">Прочее </t>
  </si>
  <si>
    <t>счетчик</t>
  </si>
  <si>
    <t xml:space="preserve">Налоги </t>
  </si>
  <si>
    <t xml:space="preserve">Зерно </t>
  </si>
  <si>
    <t xml:space="preserve">Страховые взносы </t>
  </si>
  <si>
    <t xml:space="preserve">Круассаны </t>
  </si>
  <si>
    <t xml:space="preserve">Чай </t>
  </si>
  <si>
    <t xml:space="preserve">Бариста </t>
  </si>
  <si>
    <t xml:space="preserve">Сбер бизнес </t>
  </si>
  <si>
    <t xml:space="preserve">Десерты </t>
  </si>
  <si>
    <t xml:space="preserve">Мебель </t>
  </si>
  <si>
    <t>Офис маг</t>
  </si>
  <si>
    <t xml:space="preserve">Куки в руки </t>
  </si>
  <si>
    <t xml:space="preserve">Карта лояльности </t>
  </si>
  <si>
    <t xml:space="preserve">Доводчик двери </t>
  </si>
  <si>
    <t>Ягоды заморож</t>
  </si>
  <si>
    <t xml:space="preserve">Мусорка </t>
  </si>
  <si>
    <t xml:space="preserve">Бухгалтер </t>
  </si>
  <si>
    <t>Картошка пирож</t>
  </si>
  <si>
    <t xml:space="preserve">Сбербанк </t>
  </si>
  <si>
    <t xml:space="preserve">Сиропы </t>
  </si>
  <si>
    <t xml:space="preserve">Кофе </t>
  </si>
  <si>
    <t xml:space="preserve">Реклама </t>
  </si>
  <si>
    <t xml:space="preserve">Медкнижка </t>
  </si>
  <si>
    <t xml:space="preserve">Покупки </t>
  </si>
  <si>
    <t xml:space="preserve">Сбер подписка </t>
  </si>
  <si>
    <t xml:space="preserve">Вб </t>
  </si>
  <si>
    <t>Вб</t>
  </si>
  <si>
    <t>Десерты</t>
  </si>
  <si>
    <t xml:space="preserve">Сбер прайм </t>
  </si>
  <si>
    <t>Кофе</t>
  </si>
  <si>
    <t xml:space="preserve">Квартира </t>
  </si>
  <si>
    <t xml:space="preserve">Пятерочка и покупки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</si>
</sst>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Helvetica Neue"/>
    </font>
    <font>
      <b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vertical="bottom"/>
    </xf>
    <xf borderId="2" fillId="0" fontId="1" numFmtId="1" xfId="0" applyAlignment="1" applyBorder="1" applyFont="1" applyNumberFormat="1">
      <alignment vertical="bottom"/>
    </xf>
    <xf borderId="3" fillId="0" fontId="1" numFmtId="1" xfId="0" applyAlignment="1" applyBorder="1" applyFont="1" applyNumberFormat="1">
      <alignment vertical="bottom"/>
    </xf>
    <xf borderId="2" fillId="2" fontId="2" numFmtId="1" xfId="0" applyAlignment="1" applyBorder="1" applyFill="1" applyFont="1" applyNumberFormat="1">
      <alignment shrinkToFit="0" vertical="top" wrapText="1"/>
    </xf>
    <xf borderId="2" fillId="3" fontId="2" numFmtId="1" xfId="0" applyAlignment="1" applyBorder="1" applyFill="1" applyFont="1" applyNumberFormat="1">
      <alignment shrinkToFit="0" vertical="top" wrapText="1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4" fillId="0" fontId="1" numFmtId="164" xfId="0" applyAlignment="1" applyBorder="1" applyFont="1" applyNumberFormat="1">
      <alignment horizontal="right" vertical="bottom"/>
    </xf>
    <xf borderId="5" fillId="0" fontId="1" numFmtId="1" xfId="0" applyAlignment="1" applyBorder="1" applyFont="1" applyNumberFormat="1">
      <alignment readingOrder="0" vertical="bottom"/>
    </xf>
    <xf borderId="5" fillId="0" fontId="1" numFmtId="1" xfId="0" applyAlignment="1" applyBorder="1" applyFont="1" applyNumberFormat="1">
      <alignment vertical="bottom"/>
    </xf>
    <xf borderId="5" fillId="0" fontId="1" numFmtId="1" xfId="0" applyAlignment="1" applyBorder="1" applyFont="1" applyNumberFormat="1">
      <alignment horizontal="right" vertical="bottom"/>
    </xf>
    <xf borderId="5" fillId="4" fontId="1" numFmtId="1" xfId="0" applyAlignment="1" applyBorder="1" applyFill="1" applyFont="1" applyNumberFormat="1">
      <alignment readingOrder="0" vertical="bottom"/>
    </xf>
    <xf borderId="5" fillId="4" fontId="1" numFmtId="1" xfId="0" applyAlignment="1" applyBorder="1" applyFont="1" applyNumberFormat="1">
      <alignment vertical="bottom"/>
    </xf>
    <xf borderId="5" fillId="5" fontId="1" numFmtId="1" xfId="0" applyAlignment="1" applyBorder="1" applyFill="1" applyFont="1" applyNumberFormat="1">
      <alignment readingOrder="0"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4" fillId="0" fontId="1" numFmtId="1" xfId="0" applyAlignment="1" applyBorder="1" applyFont="1" applyNumberFormat="1">
      <alignment vertical="bottom"/>
    </xf>
    <xf borderId="0" fillId="0" fontId="1" numFmtId="1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5" fillId="5" fontId="1" numFmtId="1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4" t="s">
        <v>7</v>
      </c>
      <c r="L1" s="4" t="s">
        <v>9</v>
      </c>
      <c r="M1" s="4" t="s">
        <v>10</v>
      </c>
      <c r="N1" s="6"/>
      <c r="O1" s="6"/>
      <c r="P1" s="7" t="s">
        <v>11</v>
      </c>
      <c r="Q1" s="7" t="s">
        <v>12</v>
      </c>
      <c r="R1" s="7" t="s">
        <v>13</v>
      </c>
      <c r="S1" s="7" t="s">
        <v>14</v>
      </c>
    </row>
    <row r="2">
      <c r="A2" s="8">
        <v>45931.0</v>
      </c>
      <c r="B2" s="9">
        <v>7742.86</v>
      </c>
      <c r="C2" s="10"/>
      <c r="D2" s="11">
        <f t="shared" ref="D2:D30" si="1">B2+C2</f>
        <v>7742.86</v>
      </c>
      <c r="E2" s="3"/>
      <c r="F2" s="9">
        <v>82950.0</v>
      </c>
      <c r="G2" s="9">
        <v>21845.0</v>
      </c>
      <c r="H2" s="9"/>
      <c r="I2" s="12"/>
      <c r="J2" s="10"/>
      <c r="K2" s="13"/>
      <c r="L2" s="10"/>
      <c r="M2" s="10"/>
      <c r="N2" s="6"/>
      <c r="O2" s="6"/>
      <c r="P2" s="6"/>
      <c r="Q2" s="7">
        <v>211904.0</v>
      </c>
      <c r="R2" s="6"/>
      <c r="S2" s="7">
        <v>85381.0</v>
      </c>
    </row>
    <row r="3">
      <c r="A3" s="8">
        <v>45932.0</v>
      </c>
      <c r="B3" s="9">
        <v>11820.0</v>
      </c>
      <c r="C3" s="9">
        <v>1500.0</v>
      </c>
      <c r="D3" s="11">
        <f t="shared" si="1"/>
        <v>13320</v>
      </c>
      <c r="E3" s="3"/>
      <c r="F3" s="10"/>
      <c r="G3" s="14">
        <v>58107.0</v>
      </c>
      <c r="H3" s="9">
        <v>7474.0</v>
      </c>
      <c r="I3" s="12" t="s">
        <v>15</v>
      </c>
      <c r="J3" s="10"/>
      <c r="K3" s="13"/>
      <c r="L3" s="10"/>
      <c r="M3" s="10"/>
      <c r="N3" s="15" t="s">
        <v>2</v>
      </c>
      <c r="O3" s="6"/>
      <c r="P3" s="7">
        <v>211927.0</v>
      </c>
      <c r="Q3" s="7">
        <v>212140.0</v>
      </c>
      <c r="R3" s="7">
        <v>85404.0</v>
      </c>
      <c r="S3" s="7">
        <v>85617.0</v>
      </c>
    </row>
    <row r="4">
      <c r="A4" s="8">
        <v>45933.0</v>
      </c>
      <c r="B4" s="9">
        <v>18960.0</v>
      </c>
      <c r="C4" s="9">
        <v>1000.0</v>
      </c>
      <c r="D4" s="11">
        <f t="shared" si="1"/>
        <v>19960</v>
      </c>
      <c r="E4" s="3"/>
      <c r="F4" s="10"/>
      <c r="G4" s="10"/>
      <c r="H4" s="9">
        <v>35400.0</v>
      </c>
      <c r="I4" s="12" t="s">
        <v>16</v>
      </c>
      <c r="J4" s="10"/>
      <c r="K4" s="13"/>
      <c r="L4" s="10"/>
      <c r="M4" s="10"/>
      <c r="N4" s="16" t="s">
        <v>17</v>
      </c>
      <c r="O4" s="6"/>
      <c r="P4" s="7">
        <v>212163.0</v>
      </c>
      <c r="Q4" s="7">
        <v>212378.0</v>
      </c>
      <c r="R4" s="7">
        <v>85640.0</v>
      </c>
      <c r="S4" s="7">
        <v>85854.0</v>
      </c>
    </row>
    <row r="5">
      <c r="A5" s="8">
        <v>45934.0</v>
      </c>
      <c r="B5" s="9">
        <v>15870.0</v>
      </c>
      <c r="C5" s="9">
        <v>1800.0</v>
      </c>
      <c r="D5" s="11">
        <f t="shared" si="1"/>
        <v>17670</v>
      </c>
      <c r="E5" s="3"/>
      <c r="F5" s="10"/>
      <c r="G5" s="10"/>
      <c r="H5" s="9">
        <v>21464.0</v>
      </c>
      <c r="I5" s="12" t="s">
        <v>18</v>
      </c>
      <c r="J5" s="10"/>
      <c r="K5" s="13"/>
      <c r="L5" s="10"/>
      <c r="M5" s="10"/>
      <c r="N5" s="17" t="s">
        <v>19</v>
      </c>
      <c r="O5" s="6"/>
      <c r="P5" s="6"/>
      <c r="Q5" s="7">
        <v>212615.0</v>
      </c>
      <c r="R5" s="6"/>
      <c r="S5" s="7">
        <v>86090.0</v>
      </c>
    </row>
    <row r="6">
      <c r="A6" s="8">
        <v>45935.0</v>
      </c>
      <c r="B6" s="9">
        <v>7470.0</v>
      </c>
      <c r="C6" s="9">
        <v>150.0</v>
      </c>
      <c r="D6" s="11">
        <f t="shared" si="1"/>
        <v>7620</v>
      </c>
      <c r="E6" s="3"/>
      <c r="F6" s="10"/>
      <c r="G6" s="10"/>
      <c r="H6" s="9">
        <v>10297.0</v>
      </c>
      <c r="I6" s="12" t="s">
        <v>20</v>
      </c>
      <c r="J6" s="10"/>
      <c r="K6" s="13"/>
      <c r="L6" s="10"/>
      <c r="M6" s="10"/>
      <c r="N6" s="6"/>
      <c r="O6" s="6"/>
      <c r="P6" s="7">
        <v>212645.0</v>
      </c>
      <c r="Q6" s="7">
        <v>212829.0</v>
      </c>
      <c r="R6" s="7">
        <v>86121.0</v>
      </c>
      <c r="S6" s="7">
        <v>86304.0</v>
      </c>
    </row>
    <row r="7">
      <c r="A7" s="8">
        <v>45936.0</v>
      </c>
      <c r="B7" s="9">
        <v>9840.0</v>
      </c>
      <c r="C7" s="9">
        <v>200.0</v>
      </c>
      <c r="D7" s="11">
        <f t="shared" si="1"/>
        <v>10040</v>
      </c>
      <c r="E7" s="3"/>
      <c r="F7" s="10"/>
      <c r="G7" s="10"/>
      <c r="H7" s="10"/>
      <c r="I7" s="13"/>
      <c r="J7" s="10"/>
      <c r="K7" s="13"/>
      <c r="L7" s="10"/>
      <c r="M7" s="10"/>
      <c r="N7" s="6"/>
      <c r="O7" s="6"/>
      <c r="P7" s="7">
        <v>212862.0</v>
      </c>
      <c r="Q7" s="7">
        <v>213058.0</v>
      </c>
      <c r="R7" s="7">
        <v>86337.0</v>
      </c>
      <c r="S7" s="7">
        <v>86532.0</v>
      </c>
    </row>
    <row r="8">
      <c r="A8" s="8">
        <v>45937.0</v>
      </c>
      <c r="B8" s="9">
        <v>11685.0</v>
      </c>
      <c r="C8" s="9">
        <v>710.0</v>
      </c>
      <c r="D8" s="11">
        <f t="shared" si="1"/>
        <v>12395</v>
      </c>
      <c r="E8" s="3"/>
      <c r="F8" s="10"/>
      <c r="G8" s="10"/>
      <c r="H8" s="9">
        <v>9383.0</v>
      </c>
      <c r="I8" s="12" t="s">
        <v>21</v>
      </c>
      <c r="J8" s="10"/>
      <c r="K8" s="13"/>
      <c r="L8" s="10"/>
      <c r="M8" s="10"/>
      <c r="N8" s="6"/>
      <c r="O8" s="6"/>
      <c r="P8" s="7">
        <v>213081.0</v>
      </c>
      <c r="Q8" s="7">
        <v>213297.0</v>
      </c>
      <c r="R8" s="7">
        <v>86556.0</v>
      </c>
      <c r="S8" s="7">
        <v>86771.0</v>
      </c>
    </row>
    <row r="9">
      <c r="A9" s="8">
        <v>45938.0</v>
      </c>
      <c r="B9" s="9">
        <v>8915.0</v>
      </c>
      <c r="C9" s="9">
        <v>840.0</v>
      </c>
      <c r="D9" s="11">
        <f t="shared" si="1"/>
        <v>9755</v>
      </c>
      <c r="E9" s="3"/>
      <c r="F9" s="10"/>
      <c r="G9" s="10"/>
      <c r="H9" s="9">
        <v>14250.0</v>
      </c>
      <c r="I9" s="12" t="s">
        <v>22</v>
      </c>
      <c r="J9" s="10"/>
      <c r="K9" s="13"/>
      <c r="L9" s="10"/>
      <c r="M9" s="10"/>
      <c r="N9" s="6"/>
      <c r="O9" s="6"/>
      <c r="P9" s="7">
        <v>213323.0</v>
      </c>
      <c r="Q9" s="7">
        <v>213525.0</v>
      </c>
      <c r="R9" s="7">
        <v>86797.0</v>
      </c>
      <c r="S9" s="7">
        <v>86998.0</v>
      </c>
    </row>
    <row r="10">
      <c r="A10" s="8">
        <v>45939.0</v>
      </c>
      <c r="B10" s="9">
        <v>17310.0</v>
      </c>
      <c r="C10" s="9">
        <v>2160.0</v>
      </c>
      <c r="D10" s="11">
        <f t="shared" si="1"/>
        <v>19470</v>
      </c>
      <c r="E10" s="3"/>
      <c r="F10" s="10"/>
      <c r="G10" s="10"/>
      <c r="H10" s="10"/>
      <c r="I10" s="13"/>
      <c r="J10" s="10"/>
      <c r="K10" s="13"/>
      <c r="L10" s="10"/>
      <c r="M10" s="10"/>
      <c r="N10" s="6"/>
      <c r="O10" s="6"/>
      <c r="P10" s="7">
        <v>213555.0</v>
      </c>
      <c r="Q10" s="7">
        <v>213776.0</v>
      </c>
      <c r="R10" s="7">
        <v>87029.0</v>
      </c>
      <c r="S10" s="7">
        <v>87248.0</v>
      </c>
    </row>
    <row r="11">
      <c r="A11" s="8">
        <v>45940.0</v>
      </c>
      <c r="B11" s="9">
        <v>9590.0</v>
      </c>
      <c r="C11" s="9">
        <v>1760.0</v>
      </c>
      <c r="D11" s="11">
        <f t="shared" si="1"/>
        <v>11350</v>
      </c>
      <c r="E11" s="3"/>
      <c r="F11" s="10"/>
      <c r="G11" s="10"/>
      <c r="H11" s="10"/>
      <c r="I11" s="13"/>
      <c r="J11" s="10"/>
      <c r="K11" s="13"/>
      <c r="L11" s="10"/>
      <c r="M11" s="10"/>
      <c r="N11" s="6"/>
      <c r="O11" s="6"/>
      <c r="P11" s="7">
        <v>213802.0</v>
      </c>
      <c r="Q11" s="7">
        <v>214009.0</v>
      </c>
      <c r="R11" s="7">
        <v>87275.0</v>
      </c>
      <c r="S11" s="7">
        <v>87481.0</v>
      </c>
    </row>
    <row r="12">
      <c r="A12" s="8">
        <v>45941.0</v>
      </c>
      <c r="B12" s="9">
        <v>15000.0</v>
      </c>
      <c r="C12" s="9">
        <v>1050.0</v>
      </c>
      <c r="D12" s="11">
        <f t="shared" si="1"/>
        <v>16050</v>
      </c>
      <c r="E12" s="3"/>
      <c r="F12" s="10"/>
      <c r="G12" s="10"/>
      <c r="H12" s="9">
        <v>2431.0</v>
      </c>
      <c r="I12" s="12" t="s">
        <v>23</v>
      </c>
      <c r="J12" s="10"/>
      <c r="K12" s="13"/>
      <c r="L12" s="10"/>
      <c r="M12" s="10"/>
      <c r="N12" s="6"/>
      <c r="O12" s="6"/>
      <c r="P12" s="7">
        <v>214041.0</v>
      </c>
      <c r="Q12" s="7">
        <v>214250.0</v>
      </c>
      <c r="R12" s="7">
        <v>87513.0</v>
      </c>
      <c r="S12" s="7">
        <v>87721.0</v>
      </c>
    </row>
    <row r="13">
      <c r="A13" s="8">
        <v>45942.0</v>
      </c>
      <c r="B13" s="9">
        <v>9470.0</v>
      </c>
      <c r="C13" s="9">
        <v>800.0</v>
      </c>
      <c r="D13" s="11">
        <f t="shared" si="1"/>
        <v>10270</v>
      </c>
      <c r="E13" s="3"/>
      <c r="F13" s="10"/>
      <c r="G13" s="10"/>
      <c r="H13" s="9">
        <v>6490.0</v>
      </c>
      <c r="I13" s="12" t="s">
        <v>24</v>
      </c>
      <c r="J13" s="10"/>
      <c r="K13" s="13"/>
      <c r="L13" s="10"/>
      <c r="M13" s="10"/>
      <c r="N13" s="6"/>
      <c r="O13" s="6"/>
      <c r="P13" s="7">
        <v>214283.0</v>
      </c>
      <c r="Q13" s="7">
        <v>214478.0</v>
      </c>
      <c r="R13" s="7">
        <v>87754.0</v>
      </c>
      <c r="S13" s="7">
        <v>87949.0</v>
      </c>
    </row>
    <row r="14">
      <c r="A14" s="8">
        <v>45943.0</v>
      </c>
      <c r="B14" s="9">
        <v>5035.0</v>
      </c>
      <c r="C14" s="9">
        <v>960.0</v>
      </c>
      <c r="D14" s="11">
        <f t="shared" si="1"/>
        <v>5995</v>
      </c>
      <c r="E14" s="3"/>
      <c r="F14" s="10"/>
      <c r="G14" s="10"/>
      <c r="H14" s="9">
        <v>6076.0</v>
      </c>
      <c r="I14" s="12" t="s">
        <v>25</v>
      </c>
      <c r="J14" s="10"/>
      <c r="K14" s="13"/>
      <c r="L14" s="10"/>
      <c r="M14" s="10"/>
      <c r="N14" s="6"/>
      <c r="O14" s="6"/>
      <c r="P14" s="7">
        <v>214507.0</v>
      </c>
      <c r="Q14" s="7">
        <v>214706.0</v>
      </c>
      <c r="R14" s="7">
        <v>87978.0</v>
      </c>
      <c r="S14" s="7">
        <v>88177.0</v>
      </c>
    </row>
    <row r="15">
      <c r="A15" s="8">
        <v>45944.0</v>
      </c>
      <c r="B15" s="9">
        <v>6470.0</v>
      </c>
      <c r="C15" s="9">
        <v>760.0</v>
      </c>
      <c r="D15" s="11">
        <f t="shared" si="1"/>
        <v>7230</v>
      </c>
      <c r="E15" s="3"/>
      <c r="F15" s="10"/>
      <c r="G15" s="10"/>
      <c r="H15" s="10"/>
      <c r="I15" s="13"/>
      <c r="J15" s="10"/>
      <c r="K15" s="13"/>
      <c r="L15" s="10"/>
      <c r="M15" s="10"/>
      <c r="N15" s="6"/>
      <c r="O15" s="6"/>
      <c r="P15" s="7">
        <v>214738.0</v>
      </c>
      <c r="Q15" s="7">
        <v>214941.0</v>
      </c>
      <c r="R15" s="7">
        <v>88208.0</v>
      </c>
      <c r="S15" s="7">
        <v>88411.0</v>
      </c>
    </row>
    <row r="16">
      <c r="A16" s="8">
        <v>45945.0</v>
      </c>
      <c r="B16" s="9">
        <v>8100.0</v>
      </c>
      <c r="C16" s="9">
        <v>0.0</v>
      </c>
      <c r="D16" s="11">
        <f t="shared" si="1"/>
        <v>8100</v>
      </c>
      <c r="E16" s="3"/>
      <c r="F16" s="10"/>
      <c r="G16" s="10"/>
      <c r="H16" s="10"/>
      <c r="I16" s="13"/>
      <c r="J16" s="10"/>
      <c r="K16" s="13"/>
      <c r="L16" s="10"/>
      <c r="M16" s="10"/>
      <c r="N16" s="6"/>
      <c r="O16" s="6"/>
      <c r="P16" s="7">
        <v>214969.0</v>
      </c>
      <c r="Q16" s="7">
        <v>215164.0</v>
      </c>
      <c r="R16" s="7">
        <v>88439.0</v>
      </c>
      <c r="S16" s="7">
        <v>88634.0</v>
      </c>
    </row>
    <row r="17">
      <c r="A17" s="8">
        <v>45946.0</v>
      </c>
      <c r="B17" s="9">
        <v>7925.0</v>
      </c>
      <c r="C17" s="9">
        <v>660.0</v>
      </c>
      <c r="D17" s="11">
        <f t="shared" si="1"/>
        <v>8585</v>
      </c>
      <c r="E17" s="3"/>
      <c r="F17" s="10"/>
      <c r="G17" s="10"/>
      <c r="H17" s="10"/>
      <c r="I17" s="13"/>
      <c r="J17" s="10"/>
      <c r="K17" s="13"/>
      <c r="L17" s="10"/>
      <c r="M17" s="10"/>
      <c r="N17" s="6"/>
      <c r="O17" s="6"/>
      <c r="P17" s="7">
        <v>215191.0</v>
      </c>
      <c r="Q17" s="7">
        <v>215424.0</v>
      </c>
      <c r="R17" s="7">
        <v>88660.0</v>
      </c>
      <c r="S17" s="7">
        <v>88893.0</v>
      </c>
    </row>
    <row r="18">
      <c r="A18" s="8">
        <v>45947.0</v>
      </c>
      <c r="B18" s="9">
        <v>6250.0</v>
      </c>
      <c r="C18" s="9">
        <v>1220.0</v>
      </c>
      <c r="D18" s="11">
        <f t="shared" si="1"/>
        <v>7470</v>
      </c>
      <c r="E18" s="3"/>
      <c r="F18" s="10"/>
      <c r="G18" s="10"/>
      <c r="H18" s="10"/>
      <c r="I18" s="13"/>
      <c r="J18" s="10"/>
      <c r="K18" s="13"/>
      <c r="L18" s="10"/>
      <c r="M18" s="10"/>
      <c r="N18" s="6"/>
      <c r="O18" s="6"/>
      <c r="P18" s="7">
        <v>215455.0</v>
      </c>
      <c r="Q18" s="7">
        <v>215652.0</v>
      </c>
      <c r="R18" s="7">
        <v>88924.0</v>
      </c>
      <c r="S18" s="7">
        <v>89121.0</v>
      </c>
    </row>
    <row r="19">
      <c r="A19" s="8">
        <v>45948.0</v>
      </c>
      <c r="B19" s="9">
        <v>14320.0</v>
      </c>
      <c r="C19" s="9">
        <v>960.0</v>
      </c>
      <c r="D19" s="11">
        <f t="shared" si="1"/>
        <v>15280</v>
      </c>
      <c r="E19" s="3"/>
      <c r="F19" s="9"/>
      <c r="G19" s="10"/>
      <c r="H19" s="10"/>
      <c r="I19" s="13"/>
      <c r="J19" s="10"/>
      <c r="K19" s="13"/>
      <c r="L19" s="10"/>
      <c r="M19" s="10"/>
      <c r="N19" s="6"/>
      <c r="O19" s="6"/>
      <c r="P19" s="7">
        <v>215682.0</v>
      </c>
      <c r="Q19" s="7">
        <v>215883.0</v>
      </c>
      <c r="R19" s="7">
        <v>89151.0</v>
      </c>
      <c r="S19" s="7">
        <v>89351.0</v>
      </c>
    </row>
    <row r="20">
      <c r="A20" s="8">
        <v>45949.0</v>
      </c>
      <c r="B20" s="9">
        <v>5380.0</v>
      </c>
      <c r="C20" s="9">
        <v>1310.0</v>
      </c>
      <c r="D20" s="11">
        <f t="shared" si="1"/>
        <v>6690</v>
      </c>
      <c r="E20" s="3"/>
      <c r="F20" s="10"/>
      <c r="G20" s="10"/>
      <c r="H20" s="10"/>
      <c r="I20" s="13"/>
      <c r="J20" s="10"/>
      <c r="K20" s="13"/>
      <c r="L20" s="10"/>
      <c r="M20" s="10"/>
      <c r="N20" s="6"/>
      <c r="O20" s="6"/>
      <c r="P20" s="7">
        <v>215920.0</v>
      </c>
      <c r="Q20" s="7">
        <v>216093.0</v>
      </c>
      <c r="R20" s="7">
        <v>89387.0</v>
      </c>
      <c r="S20" s="7">
        <v>89561.0</v>
      </c>
    </row>
    <row r="21">
      <c r="A21" s="8">
        <v>45950.0</v>
      </c>
      <c r="B21" s="9">
        <v>7505.0</v>
      </c>
      <c r="C21" s="9">
        <v>1320.0</v>
      </c>
      <c r="D21" s="11">
        <f t="shared" si="1"/>
        <v>8825</v>
      </c>
      <c r="E21" s="3"/>
      <c r="F21" s="10"/>
      <c r="G21" s="10"/>
      <c r="H21" s="10"/>
      <c r="I21" s="13"/>
      <c r="J21" s="10"/>
      <c r="K21" s="13"/>
      <c r="L21" s="10"/>
      <c r="M21" s="10"/>
      <c r="N21" s="6"/>
      <c r="O21" s="6"/>
      <c r="P21" s="7">
        <v>216120.0</v>
      </c>
      <c r="Q21" s="7">
        <v>219328.0</v>
      </c>
      <c r="R21" s="7">
        <v>89587.0</v>
      </c>
      <c r="S21" s="7">
        <v>89795.0</v>
      </c>
    </row>
    <row r="22">
      <c r="A22" s="8">
        <v>45951.0</v>
      </c>
      <c r="B22" s="9">
        <v>7930.0</v>
      </c>
      <c r="C22" s="9">
        <v>270.0</v>
      </c>
      <c r="D22" s="11">
        <f t="shared" si="1"/>
        <v>8200</v>
      </c>
      <c r="E22" s="3"/>
      <c r="F22" s="10"/>
      <c r="G22" s="10"/>
      <c r="H22" s="10"/>
      <c r="I22" s="13"/>
      <c r="J22" s="10"/>
      <c r="K22" s="13"/>
      <c r="L22" s="10"/>
      <c r="M22" s="10"/>
      <c r="N22" s="6"/>
      <c r="O22" s="6"/>
      <c r="P22" s="7">
        <v>216360.0</v>
      </c>
      <c r="Q22" s="7">
        <v>216578.0</v>
      </c>
      <c r="R22" s="7">
        <v>89827.0</v>
      </c>
      <c r="S22" s="7">
        <v>90045.0</v>
      </c>
    </row>
    <row r="23">
      <c r="A23" s="8">
        <v>45952.0</v>
      </c>
      <c r="B23" s="9">
        <v>9840.0</v>
      </c>
      <c r="C23" s="9">
        <v>550.0</v>
      </c>
      <c r="D23" s="11">
        <f t="shared" si="1"/>
        <v>10390</v>
      </c>
      <c r="E23" s="3"/>
      <c r="F23" s="10"/>
      <c r="G23" s="10"/>
      <c r="H23" s="10"/>
      <c r="I23" s="13"/>
      <c r="J23" s="10"/>
      <c r="K23" s="13"/>
      <c r="L23" s="10"/>
      <c r="M23" s="10"/>
      <c r="N23" s="6"/>
      <c r="O23" s="6"/>
      <c r="P23" s="7">
        <v>216604.0</v>
      </c>
      <c r="Q23" s="7">
        <v>216831.0</v>
      </c>
      <c r="R23" s="7">
        <v>90071.0</v>
      </c>
      <c r="S23" s="7">
        <v>90296.0</v>
      </c>
    </row>
    <row r="24">
      <c r="A24" s="8">
        <v>45953.0</v>
      </c>
      <c r="B24" s="9">
        <v>13150.0</v>
      </c>
      <c r="C24" s="9">
        <v>0.0</v>
      </c>
      <c r="D24" s="11">
        <f t="shared" si="1"/>
        <v>13150</v>
      </c>
      <c r="E24" s="3"/>
      <c r="F24" s="10"/>
      <c r="G24" s="10"/>
      <c r="H24" s="10"/>
      <c r="I24" s="13"/>
      <c r="J24" s="10"/>
      <c r="K24" s="13"/>
      <c r="L24" s="10"/>
      <c r="M24" s="10"/>
      <c r="N24" s="6"/>
      <c r="O24" s="6"/>
      <c r="P24" s="7">
        <v>216857.0</v>
      </c>
      <c r="Q24" s="7">
        <v>217073.0</v>
      </c>
      <c r="R24" s="7">
        <v>90323.0</v>
      </c>
      <c r="S24" s="7">
        <v>90538.0</v>
      </c>
    </row>
    <row r="25">
      <c r="A25" s="8">
        <v>45954.0</v>
      </c>
      <c r="B25" s="9">
        <v>8905.0</v>
      </c>
      <c r="C25" s="9">
        <v>2570.0</v>
      </c>
      <c r="D25" s="11">
        <f t="shared" si="1"/>
        <v>11475</v>
      </c>
      <c r="E25" s="3"/>
      <c r="F25" s="10"/>
      <c r="G25" s="10"/>
      <c r="H25" s="10"/>
      <c r="I25" s="13"/>
      <c r="J25" s="10"/>
      <c r="K25" s="13"/>
      <c r="L25" s="10"/>
      <c r="M25" s="10"/>
      <c r="N25" s="6"/>
      <c r="O25" s="6"/>
      <c r="P25" s="7">
        <v>217106.0</v>
      </c>
      <c r="Q25" s="7">
        <v>217322.0</v>
      </c>
      <c r="R25" s="7">
        <v>90571.0</v>
      </c>
      <c r="S25" s="7">
        <v>90787.0</v>
      </c>
    </row>
    <row r="26">
      <c r="A26" s="8">
        <v>45955.0</v>
      </c>
      <c r="B26" s="9">
        <v>12710.0</v>
      </c>
      <c r="C26" s="9">
        <v>180.0</v>
      </c>
      <c r="D26" s="11">
        <f t="shared" si="1"/>
        <v>12890</v>
      </c>
      <c r="E26" s="3"/>
      <c r="F26" s="10"/>
      <c r="G26" s="10"/>
      <c r="H26" s="10"/>
      <c r="I26" s="13"/>
      <c r="J26" s="10"/>
      <c r="K26" s="13"/>
      <c r="L26" s="10"/>
      <c r="M26" s="10"/>
      <c r="N26" s="6"/>
      <c r="O26" s="6"/>
      <c r="P26" s="7">
        <v>217361.0</v>
      </c>
      <c r="Q26" s="7">
        <v>217543.0</v>
      </c>
      <c r="R26" s="7">
        <v>90825.0</v>
      </c>
      <c r="S26" s="7">
        <v>91007.0</v>
      </c>
    </row>
    <row r="27">
      <c r="A27" s="8">
        <v>45956.0</v>
      </c>
      <c r="B27" s="9">
        <v>12785.0</v>
      </c>
      <c r="C27" s="9">
        <v>1700.0</v>
      </c>
      <c r="D27" s="11">
        <f t="shared" si="1"/>
        <v>14485</v>
      </c>
      <c r="E27" s="3"/>
      <c r="F27" s="10"/>
      <c r="G27" s="10"/>
      <c r="H27" s="10"/>
      <c r="I27" s="13"/>
      <c r="J27" s="10"/>
      <c r="K27" s="13"/>
      <c r="L27" s="10"/>
      <c r="M27" s="10"/>
      <c r="N27" s="6"/>
      <c r="O27" s="6"/>
      <c r="P27" s="7">
        <v>217572.0</v>
      </c>
      <c r="Q27" s="7">
        <v>217756.0</v>
      </c>
      <c r="R27" s="7">
        <v>91036.0</v>
      </c>
      <c r="S27" s="7">
        <v>91220.0</v>
      </c>
    </row>
    <row r="28">
      <c r="A28" s="8">
        <v>45957.0</v>
      </c>
      <c r="B28" s="9">
        <v>10250.0</v>
      </c>
      <c r="C28" s="9">
        <v>45.0</v>
      </c>
      <c r="D28" s="11">
        <f t="shared" si="1"/>
        <v>10295</v>
      </c>
      <c r="E28" s="3"/>
      <c r="F28" s="10"/>
      <c r="G28" s="10"/>
      <c r="H28" s="10"/>
      <c r="I28" s="13"/>
      <c r="J28" s="10"/>
      <c r="K28" s="13"/>
      <c r="L28" s="10"/>
      <c r="M28" s="10"/>
      <c r="N28" s="6"/>
      <c r="O28" s="6"/>
      <c r="P28" s="7">
        <v>217756.0</v>
      </c>
      <c r="Q28" s="7">
        <v>218012.0</v>
      </c>
      <c r="R28" s="7">
        <v>91252.0</v>
      </c>
      <c r="S28" s="7">
        <v>91474.0</v>
      </c>
    </row>
    <row r="29">
      <c r="A29" s="8">
        <v>45958.0</v>
      </c>
      <c r="B29" s="9">
        <v>11850.0</v>
      </c>
      <c r="C29" s="9">
        <v>4515.0</v>
      </c>
      <c r="D29" s="11">
        <f t="shared" si="1"/>
        <v>16365</v>
      </c>
      <c r="E29" s="3"/>
      <c r="F29" s="10"/>
      <c r="G29" s="10"/>
      <c r="H29" s="10"/>
      <c r="I29" s="13"/>
      <c r="J29" s="10"/>
      <c r="K29" s="13"/>
      <c r="L29" s="10"/>
      <c r="M29" s="10"/>
      <c r="N29" s="6"/>
      <c r="O29" s="6"/>
      <c r="P29" s="7">
        <v>218038.0</v>
      </c>
      <c r="Q29" s="7">
        <v>218261.0</v>
      </c>
      <c r="R29" s="7">
        <v>91501.0</v>
      </c>
      <c r="S29" s="7">
        <v>91723.0</v>
      </c>
    </row>
    <row r="30">
      <c r="A30" s="8">
        <v>45959.0</v>
      </c>
      <c r="B30" s="9">
        <v>5655.0</v>
      </c>
      <c r="C30" s="9">
        <v>890.0</v>
      </c>
      <c r="D30" s="11">
        <f t="shared" si="1"/>
        <v>6545</v>
      </c>
      <c r="E30" s="3"/>
      <c r="F30" s="10"/>
      <c r="G30" s="10"/>
      <c r="H30" s="10"/>
      <c r="I30" s="13"/>
      <c r="J30" s="10"/>
      <c r="K30" s="13"/>
      <c r="L30" s="10"/>
      <c r="M30" s="10"/>
      <c r="N30" s="6"/>
      <c r="O30" s="6"/>
      <c r="P30" s="7">
        <v>218286.0</v>
      </c>
      <c r="Q30" s="7">
        <v>218494.0</v>
      </c>
      <c r="R30" s="7">
        <v>91748.0</v>
      </c>
      <c r="S30" s="7">
        <v>91956.0</v>
      </c>
    </row>
    <row r="31">
      <c r="A31" s="8">
        <v>45960.0</v>
      </c>
      <c r="B31" s="9">
        <v>10660.0</v>
      </c>
      <c r="C31" s="9">
        <v>660.0</v>
      </c>
      <c r="D31" s="11">
        <f>B31+B53</f>
        <v>10660</v>
      </c>
      <c r="E31" s="3"/>
      <c r="F31" s="10"/>
      <c r="G31" s="10"/>
      <c r="H31" s="10"/>
      <c r="I31" s="13"/>
      <c r="J31" s="10"/>
      <c r="K31" s="13"/>
      <c r="L31" s="10"/>
      <c r="M31" s="10"/>
      <c r="N31" s="6"/>
      <c r="O31" s="6"/>
      <c r="P31" s="7">
        <v>218521.0</v>
      </c>
      <c r="Q31" s="7">
        <v>218753.0</v>
      </c>
      <c r="R31" s="7">
        <v>91983.0</v>
      </c>
      <c r="S31" s="7">
        <v>92214.0</v>
      </c>
    </row>
    <row r="32">
      <c r="A32" s="8">
        <v>45961.0</v>
      </c>
      <c r="B32" s="9">
        <v>7270.0</v>
      </c>
      <c r="C32" s="9">
        <v>800.0</v>
      </c>
      <c r="D32" s="11">
        <f>B32+C32</f>
        <v>8070</v>
      </c>
      <c r="E32" s="3"/>
      <c r="F32" s="10"/>
      <c r="G32" s="10"/>
      <c r="H32" s="10"/>
      <c r="I32" s="13"/>
      <c r="J32" s="10"/>
      <c r="K32" s="13"/>
      <c r="L32" s="10"/>
      <c r="M32" s="10"/>
      <c r="N32" s="6"/>
      <c r="O32" s="6"/>
      <c r="P32" s="7">
        <v>218778.0</v>
      </c>
      <c r="Q32" s="7">
        <v>218981.0</v>
      </c>
      <c r="R32" s="7">
        <v>92239.0</v>
      </c>
      <c r="S32" s="7">
        <v>92442.0</v>
      </c>
    </row>
    <row r="33">
      <c r="A33" s="18"/>
      <c r="B33" s="10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>
      <c r="A34" s="6"/>
      <c r="B34" s="6"/>
      <c r="C34" s="6"/>
      <c r="D34" s="6"/>
      <c r="E34" s="6"/>
      <c r="F34" s="19">
        <f>F35*100/D35</f>
        <v>23.95025554</v>
      </c>
      <c r="G34" s="19">
        <f>G35*100/D35</f>
        <v>23.08463931</v>
      </c>
      <c r="H34" s="19">
        <f>H35*100/D35</f>
        <v>32.70314278</v>
      </c>
      <c r="I34" s="6"/>
      <c r="J34" s="19">
        <f>J35*100/D35</f>
        <v>0</v>
      </c>
      <c r="K34" s="6"/>
      <c r="L34" s="19" t="str">
        <f>L35*100/J35</f>
        <v>#DIV/0!</v>
      </c>
      <c r="M34" s="19">
        <f>M35*100/D35</f>
        <v>20.26196238</v>
      </c>
      <c r="N34" s="6"/>
      <c r="O34" s="6"/>
      <c r="P34" s="6"/>
      <c r="Q34" s="6"/>
      <c r="R34" s="6"/>
      <c r="S34" s="6"/>
    </row>
    <row r="35">
      <c r="A35" s="6"/>
      <c r="B35" s="20">
        <f t="shared" ref="B35:D35" si="2">SUM(B2:B32)</f>
        <v>315662.86</v>
      </c>
      <c r="C35" s="20">
        <f t="shared" si="2"/>
        <v>31340</v>
      </c>
      <c r="D35" s="20">
        <f t="shared" si="2"/>
        <v>346342.86</v>
      </c>
      <c r="E35" s="6"/>
      <c r="F35" s="20">
        <f t="shared" ref="F35:G35" si="3">SUM(F2:F32)</f>
        <v>82950</v>
      </c>
      <c r="G35" s="20">
        <f t="shared" si="3"/>
        <v>79952</v>
      </c>
      <c r="H35" s="20">
        <f>SUM(H3:H32)</f>
        <v>113265</v>
      </c>
      <c r="I35" s="6"/>
      <c r="J35" s="20">
        <f>SUM(J2:J32)</f>
        <v>0</v>
      </c>
      <c r="K35" s="6"/>
      <c r="L35" s="20">
        <f>SUM(L2:L32)</f>
        <v>0</v>
      </c>
      <c r="M35" s="20">
        <f>D35-F35-G35-H35-J35-L35</f>
        <v>70175.86</v>
      </c>
      <c r="N35" s="6"/>
      <c r="O35" s="6"/>
      <c r="P35" s="6"/>
      <c r="Q35" s="6"/>
      <c r="R35" s="6"/>
      <c r="S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21">
        <f>F35+G35+H35+J35+L35</f>
        <v>276167</v>
      </c>
      <c r="M37" s="6"/>
      <c r="N37" s="6"/>
      <c r="O37" s="6"/>
      <c r="P37" s="6"/>
      <c r="Q37" s="6"/>
      <c r="R37" s="6"/>
      <c r="S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80">
      <c r="S80" s="22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4" t="s">
        <v>7</v>
      </c>
      <c r="L1" s="4" t="s">
        <v>9</v>
      </c>
      <c r="M1" s="4" t="s">
        <v>10</v>
      </c>
      <c r="N1" s="6"/>
      <c r="O1" s="6"/>
      <c r="P1" s="6" t="s">
        <v>26</v>
      </c>
      <c r="Q1" s="6"/>
      <c r="R1" s="6"/>
      <c r="S1" s="6"/>
    </row>
    <row r="2">
      <c r="A2" s="8">
        <v>45931.0</v>
      </c>
      <c r="B2" s="9">
        <v>4945.0</v>
      </c>
      <c r="C2" s="9">
        <v>925.0</v>
      </c>
      <c r="D2" s="11">
        <f t="shared" ref="D2:D32" si="1">B2+C2</f>
        <v>5870</v>
      </c>
      <c r="E2" s="3"/>
      <c r="F2" s="9">
        <v>82950.0</v>
      </c>
      <c r="G2" s="9"/>
      <c r="H2" s="9"/>
      <c r="I2" s="12"/>
      <c r="J2" s="9">
        <v>7978.0</v>
      </c>
      <c r="K2" s="12" t="s">
        <v>27</v>
      </c>
      <c r="L2" s="10"/>
      <c r="M2" s="10"/>
      <c r="N2" s="6"/>
      <c r="O2" s="6"/>
      <c r="P2" s="6" t="s">
        <v>13</v>
      </c>
      <c r="Q2" s="6" t="s">
        <v>12</v>
      </c>
      <c r="R2" s="6" t="s">
        <v>13</v>
      </c>
      <c r="S2" s="6" t="s">
        <v>14</v>
      </c>
    </row>
    <row r="3">
      <c r="A3" s="8">
        <v>45932.0</v>
      </c>
      <c r="B3" s="9">
        <v>14575.0</v>
      </c>
      <c r="C3" s="9">
        <v>290.0</v>
      </c>
      <c r="D3" s="11">
        <f t="shared" si="1"/>
        <v>14865</v>
      </c>
      <c r="E3" s="3"/>
      <c r="F3" s="10"/>
      <c r="G3" s="14">
        <v>76387.0</v>
      </c>
      <c r="H3" s="9">
        <v>18000.0</v>
      </c>
      <c r="I3" s="12" t="s">
        <v>28</v>
      </c>
      <c r="J3" s="9">
        <v>94.97</v>
      </c>
      <c r="K3" s="12" t="s">
        <v>29</v>
      </c>
      <c r="L3" s="10"/>
      <c r="M3" s="10"/>
      <c r="N3" s="15" t="s">
        <v>2</v>
      </c>
      <c r="O3" s="6"/>
      <c r="P3" s="7">
        <v>219013.0</v>
      </c>
      <c r="Q3" s="7">
        <v>219199.0</v>
      </c>
      <c r="R3" s="7">
        <v>92474.0</v>
      </c>
      <c r="S3" s="7">
        <v>92660.0</v>
      </c>
    </row>
    <row r="4">
      <c r="A4" s="8">
        <v>45933.0</v>
      </c>
      <c r="B4" s="9">
        <v>14620.0</v>
      </c>
      <c r="C4" s="9">
        <v>510.0</v>
      </c>
      <c r="D4" s="11">
        <f t="shared" si="1"/>
        <v>15130</v>
      </c>
      <c r="E4" s="3"/>
      <c r="F4" s="10"/>
      <c r="G4" s="10"/>
      <c r="H4" s="9">
        <v>11220.0</v>
      </c>
      <c r="I4" s="12" t="s">
        <v>30</v>
      </c>
      <c r="J4" s="10"/>
      <c r="K4" s="13"/>
      <c r="L4" s="10"/>
      <c r="M4" s="10"/>
      <c r="N4" s="16" t="s">
        <v>17</v>
      </c>
      <c r="O4" s="6"/>
      <c r="P4" s="7">
        <v>219229.0</v>
      </c>
      <c r="Q4" s="7">
        <v>219434.0</v>
      </c>
      <c r="R4" s="7">
        <v>92690.0</v>
      </c>
      <c r="S4" s="7">
        <v>92844.0</v>
      </c>
    </row>
    <row r="5">
      <c r="A5" s="8">
        <v>45934.0</v>
      </c>
      <c r="B5" s="9">
        <v>5700.0</v>
      </c>
      <c r="C5" s="9">
        <v>1100.0</v>
      </c>
      <c r="D5" s="11">
        <f t="shared" si="1"/>
        <v>6800</v>
      </c>
      <c r="E5" s="3"/>
      <c r="F5" s="9">
        <v>4784.0</v>
      </c>
      <c r="G5" s="10"/>
      <c r="H5" s="9">
        <v>3600.0</v>
      </c>
      <c r="I5" s="12" t="s">
        <v>31</v>
      </c>
      <c r="J5" s="10"/>
      <c r="K5" s="13"/>
      <c r="L5" s="10"/>
      <c r="M5" s="10"/>
      <c r="N5" s="17" t="s">
        <v>19</v>
      </c>
      <c r="O5" s="6"/>
      <c r="P5" s="7">
        <v>219464.0</v>
      </c>
      <c r="Q5" s="7">
        <v>219677.0</v>
      </c>
      <c r="R5" s="7">
        <v>92923.0</v>
      </c>
      <c r="S5" s="7">
        <v>93136.0</v>
      </c>
    </row>
    <row r="6">
      <c r="A6" s="8">
        <v>45935.0</v>
      </c>
      <c r="B6" s="9">
        <v>10120.0</v>
      </c>
      <c r="C6" s="9">
        <v>1460.0</v>
      </c>
      <c r="D6" s="11">
        <f t="shared" si="1"/>
        <v>11580</v>
      </c>
      <c r="E6" s="3"/>
      <c r="F6" s="10"/>
      <c r="G6" s="10"/>
      <c r="H6" s="9">
        <v>8629.0</v>
      </c>
      <c r="I6" s="12" t="s">
        <v>32</v>
      </c>
      <c r="J6" s="9">
        <v>990.0</v>
      </c>
      <c r="K6" s="12" t="s">
        <v>33</v>
      </c>
      <c r="L6" s="10"/>
      <c r="M6" s="10"/>
      <c r="N6" s="6"/>
      <c r="O6" s="6"/>
      <c r="P6" s="7">
        <v>219703.0</v>
      </c>
      <c r="Q6" s="7">
        <v>219912.0</v>
      </c>
      <c r="R6" s="7">
        <v>93162.0</v>
      </c>
      <c r="S6" s="7">
        <v>93371.0</v>
      </c>
    </row>
    <row r="7">
      <c r="A7" s="8">
        <v>45936.0</v>
      </c>
      <c r="B7" s="9">
        <v>3380.0</v>
      </c>
      <c r="C7" s="9">
        <v>755.0</v>
      </c>
      <c r="D7" s="11">
        <f t="shared" si="1"/>
        <v>4135</v>
      </c>
      <c r="E7" s="3"/>
      <c r="F7" s="10"/>
      <c r="G7" s="10"/>
      <c r="H7" s="9">
        <v>15735.0</v>
      </c>
      <c r="I7" s="12" t="s">
        <v>34</v>
      </c>
      <c r="J7" s="10"/>
      <c r="K7" s="13"/>
      <c r="L7" s="10"/>
      <c r="M7" s="10"/>
      <c r="N7" s="6"/>
      <c r="O7" s="6"/>
      <c r="P7" s="7">
        <v>219937.0</v>
      </c>
      <c r="Q7" s="7">
        <v>220163.0</v>
      </c>
      <c r="R7" s="7">
        <v>93395.0</v>
      </c>
      <c r="S7" s="7">
        <v>93621.0</v>
      </c>
    </row>
    <row r="8">
      <c r="A8" s="8">
        <v>45937.0</v>
      </c>
      <c r="B8" s="9">
        <v>11145.0</v>
      </c>
      <c r="C8" s="9">
        <v>2080.0</v>
      </c>
      <c r="D8" s="11">
        <f t="shared" si="1"/>
        <v>13225</v>
      </c>
      <c r="E8" s="3"/>
      <c r="F8" s="10"/>
      <c r="G8" s="10"/>
      <c r="H8" s="9">
        <v>17088.0</v>
      </c>
      <c r="I8" s="12" t="s">
        <v>18</v>
      </c>
      <c r="J8" s="10"/>
      <c r="K8" s="13"/>
      <c r="L8" s="10"/>
      <c r="M8" s="10"/>
      <c r="N8" s="6"/>
      <c r="O8" s="6"/>
      <c r="P8" s="7">
        <v>220190.0</v>
      </c>
      <c r="Q8" s="7">
        <v>220418.0</v>
      </c>
      <c r="R8" s="7">
        <v>93648.0</v>
      </c>
      <c r="S8" s="7">
        <v>93875.0</v>
      </c>
    </row>
    <row r="9">
      <c r="A9" s="8">
        <v>45938.0</v>
      </c>
      <c r="B9" s="9">
        <v>12490.0</v>
      </c>
      <c r="C9" s="9">
        <v>1250.0</v>
      </c>
      <c r="D9" s="11">
        <f t="shared" si="1"/>
        <v>13740</v>
      </c>
      <c r="E9" s="3"/>
      <c r="F9" s="10"/>
      <c r="G9" s="10"/>
      <c r="H9" s="9">
        <v>8898.0</v>
      </c>
      <c r="I9" s="12" t="s">
        <v>24</v>
      </c>
      <c r="J9" s="9">
        <v>9154.0</v>
      </c>
      <c r="K9" s="12" t="s">
        <v>35</v>
      </c>
      <c r="L9" s="10"/>
      <c r="M9" s="10"/>
      <c r="N9" s="6"/>
      <c r="O9" s="6"/>
      <c r="P9" s="7">
        <v>220444.0</v>
      </c>
      <c r="Q9" s="7">
        <v>220667.0</v>
      </c>
      <c r="R9" s="7">
        <v>93902.0</v>
      </c>
      <c r="S9" s="7">
        <v>94124.0</v>
      </c>
    </row>
    <row r="10">
      <c r="A10" s="8">
        <v>45939.0</v>
      </c>
      <c r="B10" s="9">
        <v>7170.0</v>
      </c>
      <c r="C10" s="9">
        <v>760.0</v>
      </c>
      <c r="D10" s="11">
        <f t="shared" si="1"/>
        <v>7930</v>
      </c>
      <c r="E10" s="3"/>
      <c r="F10" s="10"/>
      <c r="G10" s="10"/>
      <c r="H10" s="9"/>
      <c r="I10" s="12"/>
      <c r="J10" s="10"/>
      <c r="K10" s="13"/>
      <c r="L10" s="10"/>
      <c r="M10" s="10"/>
      <c r="N10" s="6"/>
      <c r="O10" s="6"/>
      <c r="P10" s="7">
        <v>220696.0</v>
      </c>
      <c r="Q10" s="7">
        <v>220905.0</v>
      </c>
      <c r="R10" s="7">
        <v>94153.0</v>
      </c>
      <c r="S10" s="7">
        <v>94161.0</v>
      </c>
    </row>
    <row r="11">
      <c r="A11" s="8">
        <v>45940.0</v>
      </c>
      <c r="B11" s="9">
        <v>7558.0</v>
      </c>
      <c r="C11" s="9">
        <v>3145.0</v>
      </c>
      <c r="D11" s="11">
        <f t="shared" si="1"/>
        <v>10703</v>
      </c>
      <c r="E11" s="3"/>
      <c r="F11" s="10"/>
      <c r="G11" s="10"/>
      <c r="H11" s="9">
        <v>906.0</v>
      </c>
      <c r="I11" s="12" t="s">
        <v>36</v>
      </c>
      <c r="J11" s="10"/>
      <c r="K11" s="13"/>
      <c r="L11" s="10"/>
      <c r="M11" s="10"/>
      <c r="N11" s="6"/>
      <c r="O11" s="6"/>
      <c r="P11" s="7">
        <v>220934.0</v>
      </c>
      <c r="Q11" s="7">
        <v>220934.0</v>
      </c>
      <c r="R11" s="7">
        <v>94391.0</v>
      </c>
      <c r="S11" s="7">
        <v>94602.0</v>
      </c>
    </row>
    <row r="12">
      <c r="A12" s="8">
        <v>45941.0</v>
      </c>
      <c r="B12" s="9">
        <v>8865.0</v>
      </c>
      <c r="C12" s="9">
        <v>1830.0</v>
      </c>
      <c r="D12" s="11">
        <f t="shared" si="1"/>
        <v>10695</v>
      </c>
      <c r="E12" s="3"/>
      <c r="F12" s="10"/>
      <c r="G12" s="10"/>
      <c r="H12" s="9">
        <v>1119.0</v>
      </c>
      <c r="I12" s="12" t="s">
        <v>25</v>
      </c>
      <c r="J12" s="10"/>
      <c r="K12" s="13"/>
      <c r="L12" s="10"/>
      <c r="M12" s="10"/>
      <c r="N12" s="6"/>
      <c r="O12" s="6"/>
      <c r="P12" s="7">
        <v>221172.0</v>
      </c>
      <c r="Q12" s="7">
        <v>221392.0</v>
      </c>
      <c r="R12" s="7">
        <v>94627.0</v>
      </c>
      <c r="S12" s="7">
        <v>94847.0</v>
      </c>
    </row>
    <row r="13">
      <c r="A13" s="8">
        <v>45942.0</v>
      </c>
      <c r="B13" s="9">
        <v>6760.0</v>
      </c>
      <c r="C13" s="9">
        <v>280.0</v>
      </c>
      <c r="D13" s="11">
        <f t="shared" si="1"/>
        <v>7040</v>
      </c>
      <c r="E13" s="3"/>
      <c r="F13" s="10"/>
      <c r="G13" s="10"/>
      <c r="H13" s="9">
        <v>4932.0</v>
      </c>
      <c r="I13" s="12" t="s">
        <v>37</v>
      </c>
      <c r="J13" s="10"/>
      <c r="K13" s="13"/>
      <c r="L13" s="10"/>
      <c r="M13" s="10"/>
      <c r="N13" s="6"/>
      <c r="O13" s="6"/>
      <c r="P13" s="7">
        <v>221418.0</v>
      </c>
      <c r="Q13" s="7">
        <v>221631.0</v>
      </c>
      <c r="R13" s="7">
        <v>94873.0</v>
      </c>
      <c r="S13" s="7">
        <v>95086.0</v>
      </c>
    </row>
    <row r="14">
      <c r="A14" s="8">
        <v>45943.0</v>
      </c>
      <c r="B14" s="9">
        <v>3940.0</v>
      </c>
      <c r="C14" s="9">
        <v>2520.0</v>
      </c>
      <c r="D14" s="11">
        <f t="shared" si="1"/>
        <v>6460</v>
      </c>
      <c r="E14" s="3"/>
      <c r="F14" s="10"/>
      <c r="G14" s="9">
        <v>2000.0</v>
      </c>
      <c r="H14" s="9"/>
      <c r="I14" s="12"/>
      <c r="J14" s="10"/>
      <c r="K14" s="13"/>
      <c r="L14" s="10"/>
      <c r="M14" s="10"/>
      <c r="N14" s="6"/>
      <c r="O14" s="6"/>
      <c r="P14" s="7">
        <v>221658.0</v>
      </c>
      <c r="Q14" s="7">
        <v>221873.0</v>
      </c>
      <c r="R14" s="7">
        <v>95112.0</v>
      </c>
      <c r="S14" s="7">
        <v>95326.0</v>
      </c>
    </row>
    <row r="15">
      <c r="A15" s="8">
        <v>45944.0</v>
      </c>
      <c r="B15" s="9">
        <v>6520.0</v>
      </c>
      <c r="C15" s="9">
        <v>1310.0</v>
      </c>
      <c r="D15" s="11">
        <f t="shared" si="1"/>
        <v>7830</v>
      </c>
      <c r="E15" s="3"/>
      <c r="F15" s="10"/>
      <c r="G15" s="10"/>
      <c r="H15" s="10"/>
      <c r="I15" s="13"/>
      <c r="J15" s="10"/>
      <c r="K15" s="13"/>
      <c r="L15" s="10"/>
      <c r="M15" s="10"/>
      <c r="N15" s="6"/>
      <c r="O15" s="6"/>
      <c r="P15" s="7">
        <v>221898.0</v>
      </c>
      <c r="Q15" s="7">
        <v>222120.0</v>
      </c>
      <c r="R15" s="7">
        <v>95352.0</v>
      </c>
      <c r="S15" s="7">
        <v>95573.0</v>
      </c>
    </row>
    <row r="16">
      <c r="A16" s="8">
        <v>45945.0</v>
      </c>
      <c r="B16" s="9">
        <v>8260.0</v>
      </c>
      <c r="C16" s="9">
        <v>0.0</v>
      </c>
      <c r="D16" s="11">
        <f t="shared" si="1"/>
        <v>8260</v>
      </c>
      <c r="E16" s="3"/>
      <c r="F16" s="10"/>
      <c r="G16" s="10"/>
      <c r="H16" s="10"/>
      <c r="I16" s="13"/>
      <c r="J16" s="10"/>
      <c r="K16" s="13"/>
      <c r="L16" s="10"/>
      <c r="M16" s="10"/>
      <c r="N16" s="6"/>
      <c r="O16" s="6"/>
      <c r="P16" s="7">
        <v>222145.0</v>
      </c>
      <c r="Q16" s="7">
        <v>222360.0</v>
      </c>
      <c r="R16" s="7">
        <v>95598.0</v>
      </c>
      <c r="S16" s="7">
        <v>95813.0</v>
      </c>
    </row>
    <row r="17">
      <c r="A17" s="8">
        <v>45946.0</v>
      </c>
      <c r="B17" s="9">
        <v>6200.0</v>
      </c>
      <c r="C17" s="9">
        <v>380.0</v>
      </c>
      <c r="D17" s="11">
        <f t="shared" si="1"/>
        <v>6580</v>
      </c>
      <c r="E17" s="3"/>
      <c r="F17" s="10"/>
      <c r="G17" s="10"/>
      <c r="H17" s="9"/>
      <c r="I17" s="12"/>
      <c r="J17" s="10"/>
      <c r="K17" s="13"/>
      <c r="L17" s="10"/>
      <c r="M17" s="10"/>
      <c r="N17" s="6"/>
      <c r="O17" s="6"/>
      <c r="P17" s="7">
        <v>222391.0</v>
      </c>
      <c r="Q17" s="7">
        <v>222580.0</v>
      </c>
      <c r="R17" s="7">
        <v>95844.0</v>
      </c>
      <c r="S17" s="7">
        <v>96033.0</v>
      </c>
    </row>
    <row r="18">
      <c r="A18" s="8">
        <v>45947.0</v>
      </c>
      <c r="B18" s="9">
        <v>3190.0</v>
      </c>
      <c r="C18" s="9">
        <v>1820.0</v>
      </c>
      <c r="D18" s="11">
        <f t="shared" si="1"/>
        <v>5010</v>
      </c>
      <c r="E18" s="3"/>
      <c r="F18" s="10"/>
      <c r="G18" s="10"/>
      <c r="H18" s="10"/>
      <c r="I18" s="13"/>
      <c r="J18" s="10"/>
      <c r="K18" s="13"/>
      <c r="L18" s="10"/>
      <c r="M18" s="10"/>
      <c r="N18" s="6"/>
      <c r="O18" s="6"/>
      <c r="P18" s="7">
        <v>222611.0</v>
      </c>
      <c r="Q18" s="7">
        <v>222791.0</v>
      </c>
      <c r="R18" s="7">
        <v>96063.0</v>
      </c>
      <c r="S18" s="7">
        <v>96242.0</v>
      </c>
    </row>
    <row r="19">
      <c r="A19" s="8">
        <v>45948.0</v>
      </c>
      <c r="B19" s="9">
        <v>6920.0</v>
      </c>
      <c r="C19" s="9">
        <v>240.0</v>
      </c>
      <c r="D19" s="11">
        <f t="shared" si="1"/>
        <v>7160</v>
      </c>
      <c r="E19" s="3"/>
      <c r="F19" s="10"/>
      <c r="G19" s="10"/>
      <c r="H19" s="10"/>
      <c r="I19" s="13"/>
      <c r="J19" s="10"/>
      <c r="K19" s="13"/>
      <c r="L19" s="10"/>
      <c r="M19" s="10"/>
      <c r="N19" s="6"/>
      <c r="O19" s="6"/>
      <c r="P19" s="7">
        <v>222819.0</v>
      </c>
      <c r="Q19" s="7">
        <v>223022.0</v>
      </c>
      <c r="R19" s="7">
        <v>96271.0</v>
      </c>
      <c r="S19" s="7">
        <v>96472.0</v>
      </c>
    </row>
    <row r="20">
      <c r="A20" s="8">
        <v>45949.0</v>
      </c>
      <c r="B20" s="9">
        <v>7970.0</v>
      </c>
      <c r="C20" s="9">
        <v>390.0</v>
      </c>
      <c r="D20" s="11">
        <f t="shared" si="1"/>
        <v>8360</v>
      </c>
      <c r="E20" s="3"/>
      <c r="F20" s="10"/>
      <c r="G20" s="10"/>
      <c r="H20" s="10"/>
      <c r="I20" s="13"/>
      <c r="J20" s="10"/>
      <c r="K20" s="13"/>
      <c r="L20" s="10"/>
      <c r="M20" s="10"/>
      <c r="N20" s="6"/>
      <c r="O20" s="6"/>
      <c r="P20" s="7">
        <v>223049.0</v>
      </c>
      <c r="Q20" s="7">
        <v>223263.0</v>
      </c>
      <c r="R20" s="7">
        <v>96500.0</v>
      </c>
      <c r="S20" s="7">
        <v>96714.0</v>
      </c>
    </row>
    <row r="21">
      <c r="A21" s="8">
        <v>45950.0</v>
      </c>
      <c r="B21" s="9">
        <v>10502.0</v>
      </c>
      <c r="C21" s="9">
        <v>420.0</v>
      </c>
      <c r="D21" s="11">
        <f t="shared" si="1"/>
        <v>10922</v>
      </c>
      <c r="E21" s="3"/>
      <c r="F21" s="10"/>
      <c r="G21" s="10"/>
      <c r="H21" s="9"/>
      <c r="I21" s="12"/>
      <c r="J21" s="10"/>
      <c r="K21" s="13"/>
      <c r="L21" s="10"/>
      <c r="M21" s="10"/>
      <c r="N21" s="6"/>
      <c r="O21" s="6"/>
      <c r="P21" s="7">
        <v>223289.0</v>
      </c>
      <c r="Q21" s="7">
        <v>223502.0</v>
      </c>
      <c r="R21" s="7">
        <v>96739.0</v>
      </c>
      <c r="S21" s="7">
        <v>96952.0</v>
      </c>
    </row>
    <row r="22">
      <c r="A22" s="8">
        <v>45951.0</v>
      </c>
      <c r="B22" s="9">
        <v>10353.0</v>
      </c>
      <c r="C22" s="9">
        <v>1150.0</v>
      </c>
      <c r="D22" s="11">
        <f t="shared" si="1"/>
        <v>11503</v>
      </c>
      <c r="E22" s="3"/>
      <c r="F22" s="10"/>
      <c r="G22" s="10"/>
      <c r="H22" s="10"/>
      <c r="I22" s="13"/>
      <c r="J22" s="10"/>
      <c r="K22" s="13"/>
      <c r="L22" s="10"/>
      <c r="M22" s="10"/>
      <c r="N22" s="6"/>
      <c r="O22" s="6"/>
      <c r="P22" s="7">
        <v>223529.0</v>
      </c>
      <c r="Q22" s="7">
        <v>223746.0</v>
      </c>
      <c r="R22" s="7">
        <v>96979.0</v>
      </c>
      <c r="S22" s="7">
        <v>97195.0</v>
      </c>
    </row>
    <row r="23">
      <c r="A23" s="8">
        <v>45952.0</v>
      </c>
      <c r="B23" s="9">
        <v>8050.0</v>
      </c>
      <c r="C23" s="9">
        <v>590.0</v>
      </c>
      <c r="D23" s="11">
        <f t="shared" si="1"/>
        <v>8640</v>
      </c>
      <c r="E23" s="3"/>
      <c r="F23" s="10"/>
      <c r="G23" s="10"/>
      <c r="H23" s="9"/>
      <c r="I23" s="12"/>
      <c r="J23" s="10"/>
      <c r="K23" s="13"/>
      <c r="L23" s="10"/>
      <c r="M23" s="10"/>
      <c r="N23" s="6"/>
      <c r="O23" s="6"/>
      <c r="P23" s="7">
        <v>223772.0</v>
      </c>
      <c r="Q23" s="7">
        <v>223998.0</v>
      </c>
      <c r="R23" s="7">
        <v>97221.0</v>
      </c>
      <c r="S23" s="7">
        <v>97447.0</v>
      </c>
    </row>
    <row r="24">
      <c r="A24" s="8">
        <v>45953.0</v>
      </c>
      <c r="B24" s="9">
        <v>8455.0</v>
      </c>
      <c r="C24" s="9">
        <v>900.0</v>
      </c>
      <c r="D24" s="11">
        <f t="shared" si="1"/>
        <v>9355</v>
      </c>
      <c r="E24" s="3"/>
      <c r="F24" s="10"/>
      <c r="G24" s="10"/>
      <c r="H24" s="10"/>
      <c r="I24" s="13"/>
      <c r="J24" s="10"/>
      <c r="K24" s="13"/>
      <c r="L24" s="10"/>
      <c r="M24" s="10"/>
      <c r="N24" s="6"/>
      <c r="O24" s="6"/>
      <c r="P24" s="7">
        <v>224026.0</v>
      </c>
      <c r="Q24" s="7">
        <v>224229.0</v>
      </c>
      <c r="R24" s="7">
        <v>97475.0</v>
      </c>
      <c r="S24" s="7">
        <v>97678.0</v>
      </c>
    </row>
    <row r="25">
      <c r="A25" s="8">
        <v>45954.0</v>
      </c>
      <c r="B25" s="9">
        <v>4890.0</v>
      </c>
      <c r="C25" s="9">
        <v>0.0</v>
      </c>
      <c r="D25" s="11">
        <f t="shared" si="1"/>
        <v>4890</v>
      </c>
      <c r="E25" s="3"/>
      <c r="F25" s="10"/>
      <c r="G25" s="10"/>
      <c r="H25" s="10"/>
      <c r="I25" s="13"/>
      <c r="J25" s="10"/>
      <c r="K25" s="13"/>
      <c r="L25" s="10"/>
      <c r="M25" s="10"/>
      <c r="N25" s="6"/>
      <c r="O25" s="6"/>
      <c r="P25" s="7">
        <v>224261.0</v>
      </c>
      <c r="Q25" s="7">
        <v>224468.0</v>
      </c>
      <c r="R25" s="7">
        <v>97709.0</v>
      </c>
      <c r="S25" s="7">
        <v>97915.0</v>
      </c>
    </row>
    <row r="26">
      <c r="A26" s="8">
        <v>45955.0</v>
      </c>
      <c r="B26" s="9">
        <v>7270.0</v>
      </c>
      <c r="C26" s="9">
        <v>200.0</v>
      </c>
      <c r="D26" s="11">
        <f t="shared" si="1"/>
        <v>7470</v>
      </c>
      <c r="E26" s="3"/>
      <c r="F26" s="10"/>
      <c r="G26" s="10"/>
      <c r="H26" s="10"/>
      <c r="I26" s="13"/>
      <c r="J26" s="10"/>
      <c r="K26" s="13"/>
      <c r="L26" s="10"/>
      <c r="M26" s="10"/>
      <c r="N26" s="6"/>
      <c r="O26" s="6"/>
      <c r="P26" s="7">
        <v>224495.0</v>
      </c>
      <c r="Q26" s="7">
        <v>224710.0</v>
      </c>
      <c r="R26" s="7">
        <v>97942.0</v>
      </c>
      <c r="S26" s="7">
        <v>98157.0</v>
      </c>
    </row>
    <row r="27">
      <c r="A27" s="8">
        <v>45956.0</v>
      </c>
      <c r="B27" s="9">
        <v>4600.0</v>
      </c>
      <c r="C27" s="9">
        <v>510.0</v>
      </c>
      <c r="D27" s="11">
        <f t="shared" si="1"/>
        <v>5110</v>
      </c>
      <c r="E27" s="3"/>
      <c r="F27" s="10"/>
      <c r="G27" s="10"/>
      <c r="H27" s="10"/>
      <c r="I27" s="13"/>
      <c r="J27" s="10"/>
      <c r="K27" s="13"/>
      <c r="L27" s="10"/>
      <c r="M27" s="10"/>
      <c r="N27" s="6"/>
      <c r="O27" s="6"/>
      <c r="P27" s="7">
        <v>224736.0</v>
      </c>
      <c r="Q27" s="7">
        <v>224948.0</v>
      </c>
      <c r="R27" s="7">
        <v>98183.0</v>
      </c>
      <c r="S27" s="7">
        <v>98394.0</v>
      </c>
    </row>
    <row r="28">
      <c r="A28" s="8">
        <v>45957.0</v>
      </c>
      <c r="B28" s="9">
        <v>7420.0</v>
      </c>
      <c r="C28" s="9">
        <v>0.0</v>
      </c>
      <c r="D28" s="11">
        <f t="shared" si="1"/>
        <v>7420</v>
      </c>
      <c r="E28" s="3"/>
      <c r="F28" s="10"/>
      <c r="G28" s="10"/>
      <c r="H28" s="10"/>
      <c r="I28" s="13"/>
      <c r="J28" s="10"/>
      <c r="K28" s="13"/>
      <c r="L28" s="10"/>
      <c r="M28" s="10"/>
      <c r="N28" s="6"/>
      <c r="O28" s="6"/>
      <c r="P28" s="7">
        <v>224974.0</v>
      </c>
      <c r="Q28" s="7">
        <v>225195.0</v>
      </c>
      <c r="R28" s="7">
        <v>98421.0</v>
      </c>
      <c r="S28" s="7">
        <v>98641.0</v>
      </c>
    </row>
    <row r="29">
      <c r="A29" s="8">
        <v>45958.0</v>
      </c>
      <c r="B29" s="9">
        <v>9360.0</v>
      </c>
      <c r="C29" s="9">
        <v>380.0</v>
      </c>
      <c r="D29" s="11">
        <f t="shared" si="1"/>
        <v>9740</v>
      </c>
      <c r="E29" s="3"/>
      <c r="F29" s="10"/>
      <c r="G29" s="10"/>
      <c r="H29" s="10"/>
      <c r="I29" s="13"/>
      <c r="J29" s="10"/>
      <c r="K29" s="13"/>
      <c r="L29" s="10"/>
      <c r="M29" s="10"/>
      <c r="N29" s="6"/>
      <c r="O29" s="6"/>
      <c r="P29" s="7">
        <v>225221.0</v>
      </c>
      <c r="Q29" s="7">
        <v>225430.0</v>
      </c>
      <c r="R29" s="7">
        <v>98667.0</v>
      </c>
      <c r="S29" s="7">
        <v>98875.0</v>
      </c>
    </row>
    <row r="30">
      <c r="A30" s="8">
        <v>45959.0</v>
      </c>
      <c r="B30" s="9">
        <v>8071.0</v>
      </c>
      <c r="C30" s="9">
        <v>1550.0</v>
      </c>
      <c r="D30" s="11">
        <f t="shared" si="1"/>
        <v>9621</v>
      </c>
      <c r="E30" s="3"/>
      <c r="F30" s="10"/>
      <c r="G30" s="10"/>
      <c r="H30" s="10"/>
      <c r="I30" s="13"/>
      <c r="J30" s="10"/>
      <c r="K30" s="13"/>
      <c r="L30" s="10"/>
      <c r="M30" s="10"/>
      <c r="N30" s="6"/>
      <c r="O30" s="6"/>
      <c r="P30" s="7">
        <v>225456.0</v>
      </c>
      <c r="Q30" s="7">
        <v>225652.0</v>
      </c>
      <c r="R30" s="7">
        <v>98901.0</v>
      </c>
      <c r="S30" s="7">
        <v>99097.0</v>
      </c>
    </row>
    <row r="31">
      <c r="A31" s="8">
        <v>45960.0</v>
      </c>
      <c r="B31" s="9">
        <v>11020.0</v>
      </c>
      <c r="C31" s="9">
        <v>690.0</v>
      </c>
      <c r="D31" s="11">
        <f t="shared" si="1"/>
        <v>11710</v>
      </c>
      <c r="E31" s="3"/>
      <c r="F31" s="10"/>
      <c r="G31" s="10"/>
      <c r="H31" s="10"/>
      <c r="I31" s="13"/>
      <c r="J31" s="10"/>
      <c r="K31" s="13"/>
      <c r="L31" s="10"/>
      <c r="M31" s="10"/>
      <c r="N31" s="6"/>
      <c r="O31" s="6"/>
      <c r="P31" s="7">
        <v>225677.0</v>
      </c>
      <c r="Q31" s="7">
        <v>225890.0</v>
      </c>
      <c r="R31" s="7">
        <v>99122.0</v>
      </c>
      <c r="S31" s="7">
        <v>99334.0</v>
      </c>
    </row>
    <row r="32">
      <c r="A32" s="8">
        <v>45961.0</v>
      </c>
      <c r="B32" s="9"/>
      <c r="C32" s="10"/>
      <c r="D32" s="11">
        <f t="shared" si="1"/>
        <v>0</v>
      </c>
      <c r="E32" s="3"/>
      <c r="F32" s="10"/>
      <c r="G32" s="10"/>
      <c r="H32" s="10"/>
      <c r="I32" s="13"/>
      <c r="J32" s="10"/>
      <c r="K32" s="13"/>
      <c r="L32" s="10"/>
      <c r="M32" s="10"/>
      <c r="N32" s="6"/>
      <c r="O32" s="6"/>
      <c r="P32" s="7">
        <v>225920.0</v>
      </c>
      <c r="Q32" s="7">
        <v>226122.0</v>
      </c>
      <c r="R32" s="7">
        <v>99364.0</v>
      </c>
      <c r="S32" s="7">
        <v>99566.0</v>
      </c>
    </row>
    <row r="33">
      <c r="A33" s="18"/>
      <c r="B33" s="10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>
      <c r="A34" s="6"/>
      <c r="B34" s="6"/>
      <c r="C34" s="6"/>
      <c r="D34" s="6"/>
      <c r="E34" s="6"/>
      <c r="F34" s="19">
        <f>F35*100/D35</f>
        <v>32.76664401</v>
      </c>
      <c r="G34" s="19">
        <f>G35*100/D35</f>
        <v>29.27575312</v>
      </c>
      <c r="H34" s="19">
        <f>H35*100/D35</f>
        <v>33.66037482</v>
      </c>
      <c r="I34" s="6"/>
      <c r="J34" s="19">
        <f>J35*100/D35</f>
        <v>6.803621981</v>
      </c>
      <c r="K34" s="6"/>
      <c r="L34" s="19">
        <f>L35*100/J35</f>
        <v>0</v>
      </c>
      <c r="M34" s="19">
        <f>M35*100/D35</f>
        <v>-2.506393929</v>
      </c>
      <c r="N34" s="6"/>
      <c r="O34" s="6"/>
      <c r="P34" s="6"/>
      <c r="Q34" s="6"/>
      <c r="R34" s="6"/>
      <c r="S34" s="6"/>
    </row>
    <row r="35">
      <c r="A35" s="6"/>
      <c r="B35" s="20">
        <f t="shared" ref="B35:D35" si="2">SUM(B2:B32)</f>
        <v>240319</v>
      </c>
      <c r="C35" s="20">
        <f t="shared" si="2"/>
        <v>27435</v>
      </c>
      <c r="D35" s="20">
        <f t="shared" si="2"/>
        <v>267754</v>
      </c>
      <c r="E35" s="6"/>
      <c r="F35" s="20">
        <f t="shared" ref="F35:G35" si="3">SUM(F2:F32)</f>
        <v>87734</v>
      </c>
      <c r="G35" s="20">
        <f t="shared" si="3"/>
        <v>78387</v>
      </c>
      <c r="H35" s="20">
        <f>SUM(H3:H32)</f>
        <v>90127</v>
      </c>
      <c r="I35" s="6"/>
      <c r="J35" s="20">
        <f>SUM(J2:J32)</f>
        <v>18216.97</v>
      </c>
      <c r="K35" s="6"/>
      <c r="L35" s="20">
        <f>SUM(L2:L32)</f>
        <v>0</v>
      </c>
      <c r="M35" s="20">
        <f>D35-F35-G35-H35-J35-L35</f>
        <v>-6710.97</v>
      </c>
      <c r="N35" s="6"/>
      <c r="O35" s="6"/>
      <c r="P35" s="6"/>
      <c r="Q35" s="6"/>
      <c r="R35" s="6"/>
      <c r="S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21">
        <f>F35+G35+H35+J35+L35</f>
        <v>274464.97</v>
      </c>
      <c r="M37" s="6"/>
      <c r="N37" s="6"/>
      <c r="O37" s="6"/>
      <c r="P37" s="6"/>
      <c r="Q37" s="6"/>
      <c r="R37" s="6"/>
      <c r="S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4" t="s">
        <v>7</v>
      </c>
      <c r="L1" s="4" t="s">
        <v>9</v>
      </c>
      <c r="M1" s="4" t="s">
        <v>10</v>
      </c>
      <c r="N1" s="6"/>
      <c r="O1" s="6"/>
      <c r="P1" s="6" t="s">
        <v>26</v>
      </c>
      <c r="Q1" s="6"/>
      <c r="R1" s="6"/>
      <c r="S1" s="6"/>
    </row>
    <row r="2">
      <c r="A2" s="8">
        <v>45931.0</v>
      </c>
      <c r="B2" s="9">
        <v>6498.0</v>
      </c>
      <c r="C2" s="9">
        <v>496.0</v>
      </c>
      <c r="D2" s="11">
        <f t="shared" ref="D2:D32" si="1">B2+C2</f>
        <v>6994</v>
      </c>
      <c r="E2" s="3"/>
      <c r="F2" s="9">
        <v>82950.0</v>
      </c>
      <c r="G2" s="9">
        <v>81364.0</v>
      </c>
      <c r="H2" s="9"/>
      <c r="I2" s="12"/>
      <c r="J2" s="10"/>
      <c r="K2" s="13"/>
      <c r="L2" s="10"/>
      <c r="M2" s="10"/>
      <c r="N2" s="6"/>
      <c r="O2" s="6"/>
      <c r="P2" s="6" t="s">
        <v>13</v>
      </c>
      <c r="Q2" s="6" t="s">
        <v>12</v>
      </c>
      <c r="R2" s="6" t="s">
        <v>13</v>
      </c>
      <c r="S2" s="6" t="s">
        <v>14</v>
      </c>
    </row>
    <row r="3">
      <c r="A3" s="8">
        <v>45932.0</v>
      </c>
      <c r="B3" s="9">
        <v>5888.0</v>
      </c>
      <c r="C3" s="9">
        <v>1930.0</v>
      </c>
      <c r="D3" s="11">
        <f t="shared" si="1"/>
        <v>7818</v>
      </c>
      <c r="E3" s="3"/>
      <c r="F3" s="9">
        <v>15943.0</v>
      </c>
      <c r="G3" s="23"/>
      <c r="H3" s="9">
        <v>918.0</v>
      </c>
      <c r="I3" s="12" t="s">
        <v>38</v>
      </c>
      <c r="J3" s="10"/>
      <c r="K3" s="13"/>
      <c r="L3" s="10"/>
      <c r="M3" s="10"/>
      <c r="N3" s="15" t="s">
        <v>2</v>
      </c>
      <c r="O3" s="6"/>
      <c r="P3" s="7">
        <v>226147.0</v>
      </c>
      <c r="Q3" s="7">
        <v>226364.0</v>
      </c>
      <c r="R3" s="7">
        <v>99591.0</v>
      </c>
      <c r="S3" s="7">
        <v>99807.0</v>
      </c>
    </row>
    <row r="4">
      <c r="A4" s="8">
        <v>45933.0</v>
      </c>
      <c r="B4" s="9">
        <v>9026.0</v>
      </c>
      <c r="C4" s="9">
        <v>190.0</v>
      </c>
      <c r="D4" s="11">
        <f t="shared" si="1"/>
        <v>9216</v>
      </c>
      <c r="E4" s="3"/>
      <c r="F4" s="10"/>
      <c r="G4" s="9"/>
      <c r="H4" s="9">
        <v>1770.0</v>
      </c>
      <c r="I4" s="12" t="s">
        <v>39</v>
      </c>
      <c r="J4" s="10"/>
      <c r="K4" s="13"/>
      <c r="L4" s="10"/>
      <c r="M4" s="10"/>
      <c r="N4" s="16" t="s">
        <v>17</v>
      </c>
      <c r="O4" s="6"/>
      <c r="P4" s="7">
        <v>226378.0</v>
      </c>
      <c r="Q4" s="7">
        <v>226584.0</v>
      </c>
      <c r="R4" s="7">
        <v>99821.0</v>
      </c>
      <c r="S4" s="7">
        <v>100027.0</v>
      </c>
    </row>
    <row r="5">
      <c r="A5" s="8">
        <v>45934.0</v>
      </c>
      <c r="B5" s="9">
        <v>8182.0</v>
      </c>
      <c r="C5" s="9">
        <v>1280.0</v>
      </c>
      <c r="D5" s="11">
        <f t="shared" si="1"/>
        <v>9462</v>
      </c>
      <c r="E5" s="3"/>
      <c r="F5" s="10"/>
      <c r="G5" s="9"/>
      <c r="H5" s="9">
        <v>11160.0</v>
      </c>
      <c r="I5" s="12" t="s">
        <v>35</v>
      </c>
      <c r="J5" s="10"/>
      <c r="K5" s="13"/>
      <c r="L5" s="10"/>
      <c r="M5" s="10"/>
      <c r="N5" s="17" t="s">
        <v>19</v>
      </c>
      <c r="O5" s="6"/>
      <c r="P5" s="7">
        <v>226609.0</v>
      </c>
      <c r="Q5" s="7">
        <v>226815.0</v>
      </c>
      <c r="R5" s="7">
        <v>100051.0</v>
      </c>
      <c r="S5" s="7">
        <v>100257.0</v>
      </c>
    </row>
    <row r="6">
      <c r="A6" s="8">
        <v>45935.0</v>
      </c>
      <c r="B6" s="9">
        <v>5826.0</v>
      </c>
      <c r="C6" s="9">
        <v>1330.0</v>
      </c>
      <c r="D6" s="11">
        <f t="shared" si="1"/>
        <v>7156</v>
      </c>
      <c r="E6" s="3"/>
      <c r="F6" s="10"/>
      <c r="G6" s="9">
        <v>2000.0</v>
      </c>
      <c r="H6" s="9">
        <v>1450.0</v>
      </c>
      <c r="I6" s="12" t="s">
        <v>40</v>
      </c>
      <c r="J6" s="10"/>
      <c r="K6" s="13"/>
      <c r="L6" s="10"/>
      <c r="M6" s="10"/>
      <c r="N6" s="6"/>
      <c r="O6" s="6"/>
      <c r="P6" s="7">
        <v>226835.0</v>
      </c>
      <c r="Q6" s="7">
        <v>227034.0</v>
      </c>
      <c r="R6" s="7">
        <v>100277.0</v>
      </c>
      <c r="S6" s="7">
        <v>100476.0</v>
      </c>
    </row>
    <row r="7">
      <c r="A7" s="8">
        <v>45936.0</v>
      </c>
      <c r="B7" s="9">
        <v>11807.0</v>
      </c>
      <c r="C7" s="9">
        <v>1220.0</v>
      </c>
      <c r="D7" s="11">
        <f t="shared" si="1"/>
        <v>13027</v>
      </c>
      <c r="E7" s="3"/>
      <c r="F7" s="10"/>
      <c r="G7" s="10"/>
      <c r="H7" s="9">
        <v>1800.0</v>
      </c>
      <c r="I7" s="12" t="s">
        <v>41</v>
      </c>
      <c r="J7" s="10"/>
      <c r="K7" s="13"/>
      <c r="L7" s="10"/>
      <c r="M7" s="10"/>
      <c r="N7" s="6"/>
      <c r="O7" s="6"/>
      <c r="P7" s="7">
        <v>227057.0</v>
      </c>
      <c r="Q7" s="7">
        <v>227248.0</v>
      </c>
      <c r="R7" s="7">
        <v>100498.0</v>
      </c>
      <c r="S7" s="7">
        <v>100688.0</v>
      </c>
    </row>
    <row r="8">
      <c r="A8" s="8">
        <v>45937.0</v>
      </c>
      <c r="B8" s="9">
        <v>10225.0</v>
      </c>
      <c r="C8" s="9">
        <v>3690.0</v>
      </c>
      <c r="D8" s="11">
        <f t="shared" si="1"/>
        <v>13915</v>
      </c>
      <c r="E8" s="3"/>
      <c r="F8" s="10"/>
      <c r="G8" s="10"/>
      <c r="H8" s="9">
        <v>2000.0</v>
      </c>
      <c r="I8" s="12" t="s">
        <v>42</v>
      </c>
      <c r="J8" s="10"/>
      <c r="K8" s="13"/>
      <c r="L8" s="10"/>
      <c r="M8" s="10"/>
      <c r="N8" s="6"/>
      <c r="O8" s="6"/>
      <c r="P8" s="7">
        <v>227482.0</v>
      </c>
      <c r="Q8" s="7">
        <v>227656.0</v>
      </c>
      <c r="R8" s="7">
        <v>100922.0</v>
      </c>
      <c r="S8" s="7">
        <v>101096.0</v>
      </c>
    </row>
    <row r="9">
      <c r="A9" s="8">
        <v>45938.0</v>
      </c>
      <c r="B9" s="9">
        <v>12597.0</v>
      </c>
      <c r="C9" s="9">
        <v>1905.0</v>
      </c>
      <c r="D9" s="11">
        <f t="shared" si="1"/>
        <v>14502</v>
      </c>
      <c r="E9" s="3"/>
      <c r="F9" s="10"/>
      <c r="G9" s="10"/>
      <c r="H9" s="9">
        <v>1700.0</v>
      </c>
      <c r="I9" s="12" t="s">
        <v>43</v>
      </c>
      <c r="J9" s="10"/>
      <c r="K9" s="13"/>
      <c r="L9" s="10"/>
      <c r="M9" s="10"/>
      <c r="N9" s="6"/>
      <c r="O9" s="6"/>
      <c r="P9" s="7">
        <v>227686.0</v>
      </c>
      <c r="Q9" s="7">
        <v>227878.0</v>
      </c>
      <c r="R9" s="7">
        <v>101126.0</v>
      </c>
      <c r="S9" s="7">
        <v>101317.0</v>
      </c>
    </row>
    <row r="10">
      <c r="A10" s="8">
        <v>45939.0</v>
      </c>
      <c r="B10" s="9">
        <v>1690.0</v>
      </c>
      <c r="C10" s="9">
        <v>0.0</v>
      </c>
      <c r="D10" s="11">
        <f t="shared" si="1"/>
        <v>1690</v>
      </c>
      <c r="E10" s="3"/>
      <c r="F10" s="10"/>
      <c r="G10" s="10"/>
      <c r="H10" s="9">
        <v>990.0</v>
      </c>
      <c r="I10" s="12" t="s">
        <v>44</v>
      </c>
      <c r="J10" s="10"/>
      <c r="K10" s="13"/>
      <c r="L10" s="10"/>
      <c r="M10" s="10"/>
      <c r="N10" s="6"/>
      <c r="O10" s="6"/>
      <c r="P10" s="7">
        <v>227912.0</v>
      </c>
      <c r="Q10" s="7">
        <v>227996.0</v>
      </c>
      <c r="R10" s="7">
        <v>101351.0</v>
      </c>
      <c r="S10" s="7">
        <v>101435.0</v>
      </c>
    </row>
    <row r="11">
      <c r="A11" s="8">
        <v>45940.0</v>
      </c>
      <c r="B11" s="9">
        <v>7136.0</v>
      </c>
      <c r="C11" s="9">
        <v>960.0</v>
      </c>
      <c r="D11" s="11">
        <f t="shared" si="1"/>
        <v>8096</v>
      </c>
      <c r="E11" s="3"/>
      <c r="F11" s="10"/>
      <c r="G11" s="10"/>
      <c r="H11" s="9">
        <v>12900.0</v>
      </c>
      <c r="I11" s="12" t="s">
        <v>34</v>
      </c>
      <c r="J11" s="10"/>
      <c r="K11" s="13"/>
      <c r="L11" s="10"/>
      <c r="M11" s="10"/>
      <c r="N11" s="6"/>
      <c r="O11" s="6"/>
      <c r="P11" s="6"/>
      <c r="Q11" s="6"/>
      <c r="R11" s="6"/>
      <c r="S11" s="6"/>
    </row>
    <row r="12">
      <c r="A12" s="8">
        <v>45941.0</v>
      </c>
      <c r="B12" s="9">
        <v>9200.0</v>
      </c>
      <c r="C12" s="9">
        <v>1820.0</v>
      </c>
      <c r="D12" s="11">
        <f t="shared" si="1"/>
        <v>11020</v>
      </c>
      <c r="E12" s="3"/>
      <c r="F12" s="10"/>
      <c r="G12" s="10"/>
      <c r="H12" s="9">
        <v>8544.0</v>
      </c>
      <c r="I12" s="12" t="s">
        <v>18</v>
      </c>
      <c r="J12" s="10"/>
      <c r="K12" s="13"/>
      <c r="L12" s="10"/>
      <c r="M12" s="10"/>
      <c r="N12" s="6"/>
      <c r="O12" s="6"/>
      <c r="P12" s="7">
        <v>228017.0</v>
      </c>
      <c r="Q12" s="7">
        <v>228195.0</v>
      </c>
      <c r="R12" s="7">
        <v>101455.0</v>
      </c>
      <c r="S12" s="7">
        <v>101634.0</v>
      </c>
    </row>
    <row r="13">
      <c r="A13" s="8">
        <v>45942.0</v>
      </c>
      <c r="B13" s="9">
        <v>6830.0</v>
      </c>
      <c r="C13" s="9">
        <v>575.0</v>
      </c>
      <c r="D13" s="11">
        <f t="shared" si="1"/>
        <v>7405</v>
      </c>
      <c r="E13" s="3"/>
      <c r="F13" s="10"/>
      <c r="G13" s="10"/>
      <c r="H13" s="9">
        <v>2300.0</v>
      </c>
      <c r="I13" s="12" t="s">
        <v>45</v>
      </c>
      <c r="J13" s="10"/>
      <c r="K13" s="13"/>
      <c r="L13" s="10"/>
      <c r="M13" s="10"/>
      <c r="N13" s="6"/>
      <c r="O13" s="6"/>
      <c r="P13" s="7">
        <v>228216.0</v>
      </c>
      <c r="Q13" s="7">
        <v>228415.0</v>
      </c>
      <c r="R13" s="7">
        <v>101654.0</v>
      </c>
      <c r="S13" s="7">
        <v>101853.0</v>
      </c>
    </row>
    <row r="14">
      <c r="A14" s="8">
        <v>45943.0</v>
      </c>
      <c r="B14" s="9">
        <v>13500.0</v>
      </c>
      <c r="C14" s="9">
        <v>160.0</v>
      </c>
      <c r="D14" s="11">
        <f t="shared" si="1"/>
        <v>13660</v>
      </c>
      <c r="E14" s="3"/>
      <c r="F14" s="10"/>
      <c r="G14" s="10"/>
      <c r="H14" s="9">
        <v>13040.0</v>
      </c>
      <c r="I14" s="12" t="s">
        <v>46</v>
      </c>
      <c r="J14" s="10"/>
      <c r="K14" s="13"/>
      <c r="L14" s="10"/>
      <c r="M14" s="10"/>
      <c r="N14" s="6"/>
      <c r="O14" s="6"/>
      <c r="P14" s="7">
        <v>228444.0</v>
      </c>
      <c r="Q14" s="7">
        <v>228644.0</v>
      </c>
      <c r="R14" s="7">
        <v>101882.0</v>
      </c>
      <c r="S14" s="7">
        <v>102082.0</v>
      </c>
    </row>
    <row r="15">
      <c r="A15" s="8">
        <v>45944.0</v>
      </c>
      <c r="B15" s="9">
        <v>8610.0</v>
      </c>
      <c r="C15" s="9">
        <v>240.0</v>
      </c>
      <c r="D15" s="11">
        <f t="shared" si="1"/>
        <v>8850</v>
      </c>
      <c r="E15" s="3"/>
      <c r="F15" s="10"/>
      <c r="G15" s="10"/>
      <c r="H15" s="9">
        <v>3000.0</v>
      </c>
      <c r="I15" s="12" t="s">
        <v>15</v>
      </c>
      <c r="J15" s="10"/>
      <c r="K15" s="13"/>
      <c r="L15" s="10"/>
      <c r="M15" s="10"/>
      <c r="N15" s="6"/>
      <c r="O15" s="6"/>
      <c r="P15" s="7">
        <v>228669.0</v>
      </c>
      <c r="Q15" s="7">
        <v>228847.0</v>
      </c>
      <c r="R15" s="7">
        <v>102106.0</v>
      </c>
      <c r="S15" s="7">
        <v>102284.0</v>
      </c>
    </row>
    <row r="16">
      <c r="A16" s="8">
        <v>45945.0</v>
      </c>
      <c r="B16" s="9">
        <v>8500.0</v>
      </c>
      <c r="C16" s="9">
        <v>200.0</v>
      </c>
      <c r="D16" s="11">
        <f t="shared" si="1"/>
        <v>8700</v>
      </c>
      <c r="E16" s="3"/>
      <c r="F16" s="10"/>
      <c r="G16" s="10"/>
      <c r="H16" s="9">
        <v>9000.0</v>
      </c>
      <c r="I16" s="12" t="s">
        <v>47</v>
      </c>
      <c r="J16" s="10"/>
      <c r="K16" s="13"/>
      <c r="L16" s="10"/>
      <c r="M16" s="10"/>
      <c r="N16" s="6"/>
      <c r="O16" s="6"/>
      <c r="P16" s="7">
        <v>228875.0</v>
      </c>
      <c r="Q16" s="7">
        <v>229043.0</v>
      </c>
      <c r="R16" s="7">
        <v>102312.0</v>
      </c>
      <c r="S16" s="7">
        <v>102480.0</v>
      </c>
    </row>
    <row r="17">
      <c r="A17" s="8">
        <v>45946.0</v>
      </c>
      <c r="B17" s="9">
        <v>9406.0</v>
      </c>
      <c r="C17" s="9">
        <v>1580.0</v>
      </c>
      <c r="D17" s="11">
        <f t="shared" si="1"/>
        <v>10986</v>
      </c>
      <c r="E17" s="3"/>
      <c r="F17" s="10"/>
      <c r="G17" s="10"/>
      <c r="H17" s="9">
        <v>3000.0</v>
      </c>
      <c r="I17" s="12" t="s">
        <v>48</v>
      </c>
      <c r="J17" s="10"/>
      <c r="K17" s="13"/>
      <c r="L17" s="10"/>
      <c r="M17" s="10"/>
      <c r="N17" s="6"/>
      <c r="O17" s="6"/>
      <c r="P17" s="7">
        <v>229069.0</v>
      </c>
      <c r="Q17" s="7">
        <v>229259.0</v>
      </c>
      <c r="R17" s="7">
        <v>102505.0</v>
      </c>
      <c r="S17" s="7">
        <v>102695.0</v>
      </c>
    </row>
    <row r="18">
      <c r="A18" s="8">
        <v>45947.0</v>
      </c>
      <c r="B18" s="9">
        <v>13404.0</v>
      </c>
      <c r="C18" s="9">
        <v>1030.0</v>
      </c>
      <c r="D18" s="11">
        <f t="shared" si="1"/>
        <v>14434</v>
      </c>
      <c r="E18" s="3"/>
      <c r="F18" s="10"/>
      <c r="G18" s="10"/>
      <c r="H18" s="9"/>
      <c r="I18" s="12"/>
      <c r="J18" s="10"/>
      <c r="K18" s="13"/>
      <c r="L18" s="10"/>
      <c r="M18" s="10"/>
      <c r="N18" s="6"/>
      <c r="O18" s="6"/>
      <c r="P18" s="7">
        <v>229284.0</v>
      </c>
      <c r="Q18" s="7">
        <v>229499.0</v>
      </c>
      <c r="R18" s="7">
        <v>102720.0</v>
      </c>
      <c r="S18" s="7">
        <v>102935.0</v>
      </c>
    </row>
    <row r="19">
      <c r="A19" s="8">
        <v>45948.0</v>
      </c>
      <c r="B19" s="9">
        <v>10510.0</v>
      </c>
      <c r="C19" s="9">
        <v>2040.0</v>
      </c>
      <c r="D19" s="11">
        <f t="shared" si="1"/>
        <v>12550</v>
      </c>
      <c r="E19" s="3"/>
      <c r="F19" s="10"/>
      <c r="G19" s="10"/>
      <c r="H19" s="9">
        <v>1400.0</v>
      </c>
      <c r="I19" s="12" t="s">
        <v>49</v>
      </c>
      <c r="J19" s="10"/>
      <c r="K19" s="13"/>
      <c r="L19" s="10"/>
      <c r="M19" s="10"/>
      <c r="N19" s="6"/>
      <c r="O19" s="6"/>
      <c r="P19" s="7">
        <v>229525.0</v>
      </c>
      <c r="Q19" s="7">
        <v>229746.0</v>
      </c>
      <c r="R19" s="7">
        <v>102960.0</v>
      </c>
      <c r="S19" s="7">
        <v>103181.0</v>
      </c>
    </row>
    <row r="20">
      <c r="A20" s="8">
        <v>45949.0</v>
      </c>
      <c r="B20" s="9">
        <v>9166.0</v>
      </c>
      <c r="C20" s="9">
        <v>690.0</v>
      </c>
      <c r="D20" s="11">
        <f t="shared" si="1"/>
        <v>9856</v>
      </c>
      <c r="E20" s="3"/>
      <c r="F20" s="10"/>
      <c r="G20" s="10"/>
      <c r="H20" s="9"/>
      <c r="I20" s="12"/>
      <c r="J20" s="10"/>
      <c r="K20" s="13"/>
      <c r="L20" s="10"/>
      <c r="M20" s="10"/>
      <c r="N20" s="6"/>
      <c r="O20" s="6"/>
      <c r="P20" s="7">
        <v>229770.0</v>
      </c>
      <c r="Q20" s="7">
        <v>229985.0</v>
      </c>
      <c r="R20" s="7">
        <v>103205.0</v>
      </c>
      <c r="S20" s="7">
        <v>103419.0</v>
      </c>
    </row>
    <row r="21">
      <c r="A21" s="8">
        <v>45950.0</v>
      </c>
      <c r="B21" s="9">
        <v>11173.0</v>
      </c>
      <c r="C21" s="9">
        <v>800.0</v>
      </c>
      <c r="D21" s="11">
        <f t="shared" si="1"/>
        <v>11973</v>
      </c>
      <c r="E21" s="3"/>
      <c r="F21" s="10"/>
      <c r="G21" s="10"/>
      <c r="H21" s="10"/>
      <c r="I21" s="13"/>
      <c r="J21" s="10"/>
      <c r="K21" s="13"/>
      <c r="L21" s="10"/>
      <c r="M21" s="10"/>
      <c r="N21" s="6"/>
      <c r="O21" s="6"/>
      <c r="P21" s="7">
        <v>230007.0</v>
      </c>
      <c r="Q21" s="7">
        <v>230227.0</v>
      </c>
      <c r="R21" s="7">
        <v>103441.0</v>
      </c>
      <c r="S21" s="7">
        <v>103661.0</v>
      </c>
    </row>
    <row r="22">
      <c r="A22" s="8">
        <v>45951.0</v>
      </c>
      <c r="B22" s="9">
        <v>10832.0</v>
      </c>
      <c r="C22" s="9">
        <v>680.0</v>
      </c>
      <c r="D22" s="11">
        <f t="shared" si="1"/>
        <v>11512</v>
      </c>
      <c r="E22" s="3"/>
      <c r="F22" s="10"/>
      <c r="G22" s="10"/>
      <c r="H22" s="10"/>
      <c r="I22" s="13"/>
      <c r="J22" s="10"/>
      <c r="K22" s="13"/>
      <c r="L22" s="10"/>
      <c r="M22" s="10"/>
      <c r="N22" s="6"/>
      <c r="O22" s="6"/>
      <c r="P22" s="7">
        <v>230252.0</v>
      </c>
      <c r="Q22" s="7">
        <v>230449.0</v>
      </c>
      <c r="R22" s="7">
        <v>103686.0</v>
      </c>
      <c r="S22" s="7">
        <v>103882.0</v>
      </c>
    </row>
    <row r="23">
      <c r="A23" s="8">
        <v>45952.0</v>
      </c>
      <c r="B23" s="9">
        <v>8029.0</v>
      </c>
      <c r="C23" s="9">
        <v>290.0</v>
      </c>
      <c r="D23" s="11">
        <f t="shared" si="1"/>
        <v>8319</v>
      </c>
      <c r="E23" s="3"/>
      <c r="F23" s="10"/>
      <c r="G23" s="10"/>
      <c r="H23" s="9">
        <v>4000.0</v>
      </c>
      <c r="I23" s="12" t="s">
        <v>32</v>
      </c>
      <c r="J23" s="10"/>
      <c r="K23" s="13"/>
      <c r="L23" s="10"/>
      <c r="M23" s="10"/>
      <c r="N23" s="6"/>
      <c r="O23" s="6"/>
      <c r="P23" s="7">
        <v>230477.0</v>
      </c>
      <c r="Q23" s="7">
        <v>230646.0</v>
      </c>
      <c r="R23" s="7">
        <v>103910.0</v>
      </c>
      <c r="S23" s="7">
        <v>104079.0</v>
      </c>
    </row>
    <row r="24">
      <c r="A24" s="8">
        <v>45953.0</v>
      </c>
      <c r="B24" s="9">
        <v>7406.0</v>
      </c>
      <c r="C24" s="9">
        <v>780.0</v>
      </c>
      <c r="D24" s="11">
        <f t="shared" si="1"/>
        <v>8186</v>
      </c>
      <c r="E24" s="3"/>
      <c r="F24" s="10"/>
      <c r="G24" s="10"/>
      <c r="H24" s="10"/>
      <c r="I24" s="13"/>
      <c r="J24" s="10"/>
      <c r="K24" s="13"/>
      <c r="L24" s="10"/>
      <c r="M24" s="10"/>
      <c r="N24" s="6"/>
      <c r="O24" s="6"/>
      <c r="P24" s="7">
        <v>230670.0</v>
      </c>
      <c r="Q24" s="7">
        <v>230868.0</v>
      </c>
      <c r="R24" s="7">
        <v>104103.0</v>
      </c>
      <c r="S24" s="7">
        <v>104300.0</v>
      </c>
    </row>
    <row r="25">
      <c r="A25" s="8">
        <v>45954.0</v>
      </c>
      <c r="B25" s="9">
        <v>7110.0</v>
      </c>
      <c r="C25" s="9">
        <v>555.0</v>
      </c>
      <c r="D25" s="11">
        <f t="shared" si="1"/>
        <v>7665</v>
      </c>
      <c r="E25" s="3"/>
      <c r="F25" s="10"/>
      <c r="G25" s="10"/>
      <c r="H25" s="9">
        <v>29000.0</v>
      </c>
      <c r="I25" s="12" t="s">
        <v>27</v>
      </c>
      <c r="J25" s="10"/>
      <c r="K25" s="13"/>
      <c r="L25" s="10"/>
      <c r="M25" s="10"/>
      <c r="N25" s="6"/>
      <c r="O25" s="6"/>
      <c r="P25" s="7">
        <v>230893.0</v>
      </c>
      <c r="Q25" s="7">
        <v>231082.0</v>
      </c>
      <c r="R25" s="7">
        <v>104325.0</v>
      </c>
      <c r="S25" s="7">
        <v>104513.0</v>
      </c>
    </row>
    <row r="26">
      <c r="A26" s="8">
        <v>45955.0</v>
      </c>
      <c r="B26" s="9">
        <v>9149.0</v>
      </c>
      <c r="C26" s="9">
        <v>1045.0</v>
      </c>
      <c r="D26" s="11">
        <f t="shared" si="1"/>
        <v>10194</v>
      </c>
      <c r="E26" s="3"/>
      <c r="F26" s="10"/>
      <c r="G26" s="10"/>
      <c r="H26" s="10"/>
      <c r="I26" s="13"/>
      <c r="J26" s="10"/>
      <c r="K26" s="13"/>
      <c r="L26" s="10"/>
      <c r="M26" s="10"/>
      <c r="N26" s="6"/>
      <c r="O26" s="6"/>
      <c r="P26" s="7">
        <v>231105.0</v>
      </c>
      <c r="Q26" s="7">
        <v>231291.0</v>
      </c>
      <c r="R26" s="7">
        <v>104537.0</v>
      </c>
      <c r="S26" s="7">
        <v>104722.0</v>
      </c>
    </row>
    <row r="27">
      <c r="A27" s="8">
        <v>45956.0</v>
      </c>
      <c r="B27" s="9">
        <v>10338.0</v>
      </c>
      <c r="C27" s="9">
        <v>3090.0</v>
      </c>
      <c r="D27" s="11">
        <f t="shared" si="1"/>
        <v>13428</v>
      </c>
      <c r="E27" s="3"/>
      <c r="F27" s="10"/>
      <c r="G27" s="10"/>
      <c r="H27" s="10"/>
      <c r="I27" s="13"/>
      <c r="J27" s="10"/>
      <c r="K27" s="13"/>
      <c r="L27" s="10"/>
      <c r="M27" s="10"/>
      <c r="N27" s="6"/>
      <c r="O27" s="6"/>
      <c r="P27" s="7">
        <v>231315.0</v>
      </c>
      <c r="Q27" s="7">
        <v>231500.0</v>
      </c>
      <c r="R27" s="7">
        <v>104746.0</v>
      </c>
      <c r="S27" s="7">
        <v>104931.0</v>
      </c>
    </row>
    <row r="28">
      <c r="A28" s="8">
        <v>45957.0</v>
      </c>
      <c r="B28" s="9">
        <v>15065.0</v>
      </c>
      <c r="C28" s="9">
        <v>4760.0</v>
      </c>
      <c r="D28" s="11">
        <f t="shared" si="1"/>
        <v>19825</v>
      </c>
      <c r="E28" s="3"/>
      <c r="F28" s="10"/>
      <c r="G28" s="10"/>
      <c r="H28" s="9">
        <v>5574.0</v>
      </c>
      <c r="I28" s="12" t="s">
        <v>24</v>
      </c>
      <c r="J28" s="10"/>
      <c r="K28" s="13"/>
      <c r="L28" s="10"/>
      <c r="M28" s="10"/>
      <c r="N28" s="6"/>
      <c r="O28" s="6"/>
      <c r="P28" s="7">
        <v>231524.0</v>
      </c>
      <c r="Q28" s="7">
        <v>231729.0</v>
      </c>
      <c r="R28" s="7">
        <v>104955.0</v>
      </c>
      <c r="S28" s="7">
        <v>105160.0</v>
      </c>
    </row>
    <row r="29">
      <c r="A29" s="8">
        <v>45958.0</v>
      </c>
      <c r="B29" s="9">
        <v>8025.0</v>
      </c>
      <c r="C29" s="9">
        <v>1840.0</v>
      </c>
      <c r="D29" s="11">
        <f t="shared" si="1"/>
        <v>9865</v>
      </c>
      <c r="E29" s="3"/>
      <c r="F29" s="10"/>
      <c r="G29" s="10"/>
      <c r="H29" s="9">
        <v>1866.0</v>
      </c>
      <c r="I29" s="12" t="s">
        <v>36</v>
      </c>
      <c r="J29" s="10"/>
      <c r="K29" s="13"/>
      <c r="L29" s="10"/>
      <c r="M29" s="10"/>
      <c r="N29" s="6"/>
      <c r="O29" s="6"/>
      <c r="P29" s="7">
        <v>231754.0</v>
      </c>
      <c r="Q29" s="7">
        <v>231935.0</v>
      </c>
      <c r="R29" s="7">
        <v>105183.0</v>
      </c>
      <c r="S29" s="7">
        <v>105365.0</v>
      </c>
    </row>
    <row r="30">
      <c r="A30" s="8">
        <v>45959.0</v>
      </c>
      <c r="B30" s="9">
        <v>10490.0</v>
      </c>
      <c r="C30" s="9">
        <v>1490.0</v>
      </c>
      <c r="D30" s="11">
        <f t="shared" si="1"/>
        <v>11980</v>
      </c>
      <c r="E30" s="3"/>
      <c r="F30" s="10"/>
      <c r="G30" s="10"/>
      <c r="H30" s="10"/>
      <c r="I30" s="13"/>
      <c r="J30" s="10"/>
      <c r="K30" s="13"/>
      <c r="L30" s="10"/>
      <c r="M30" s="10"/>
      <c r="N30" s="6"/>
      <c r="O30" s="6"/>
      <c r="P30" s="7">
        <v>232149.0</v>
      </c>
      <c r="Q30" s="7">
        <v>232339.0</v>
      </c>
      <c r="R30" s="7">
        <v>105578.0</v>
      </c>
      <c r="S30" s="7">
        <v>105768.0</v>
      </c>
    </row>
    <row r="31">
      <c r="A31" s="8">
        <v>45960.0</v>
      </c>
      <c r="B31" s="9">
        <v>8310.0</v>
      </c>
      <c r="C31" s="9">
        <v>1250.0</v>
      </c>
      <c r="D31" s="11">
        <f t="shared" si="1"/>
        <v>9560</v>
      </c>
      <c r="E31" s="3"/>
      <c r="F31" s="10"/>
      <c r="G31" s="10"/>
      <c r="H31" s="10"/>
      <c r="I31" s="13"/>
      <c r="J31" s="10"/>
      <c r="K31" s="13"/>
      <c r="L31" s="10"/>
      <c r="M31" s="10"/>
      <c r="N31" s="6"/>
      <c r="O31" s="6"/>
      <c r="P31" s="7">
        <v>231963.0</v>
      </c>
      <c r="Q31" s="7">
        <v>232126.0</v>
      </c>
      <c r="R31" s="7">
        <v>105393.0</v>
      </c>
      <c r="S31" s="7">
        <v>105555.0</v>
      </c>
    </row>
    <row r="32">
      <c r="A32" s="8">
        <v>45961.0</v>
      </c>
      <c r="B32" s="9">
        <v>11877.0</v>
      </c>
      <c r="C32" s="9">
        <v>1575.0</v>
      </c>
      <c r="D32" s="11">
        <f t="shared" si="1"/>
        <v>13452</v>
      </c>
      <c r="E32" s="3"/>
      <c r="F32" s="10"/>
      <c r="G32" s="10"/>
      <c r="H32" s="10"/>
      <c r="I32" s="13"/>
      <c r="J32" s="10"/>
      <c r="K32" s="13"/>
      <c r="L32" s="10"/>
      <c r="M32" s="10"/>
      <c r="N32" s="6"/>
      <c r="O32" s="6"/>
      <c r="P32" s="7">
        <v>232362.0</v>
      </c>
      <c r="Q32" s="7">
        <v>232552.0</v>
      </c>
      <c r="R32" s="7">
        <v>105791.0</v>
      </c>
      <c r="S32" s="7">
        <v>105981.0</v>
      </c>
    </row>
    <row r="33">
      <c r="A33" s="8">
        <v>45962.0</v>
      </c>
      <c r="B33" s="10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7">
        <v>232578.0</v>
      </c>
      <c r="Q33" s="7">
        <v>232758.0</v>
      </c>
      <c r="R33" s="7">
        <v>106007.0</v>
      </c>
      <c r="S33" s="7">
        <v>106186.0</v>
      </c>
    </row>
    <row r="34">
      <c r="A34" s="6"/>
      <c r="B34" s="6"/>
      <c r="C34" s="6"/>
      <c r="D34" s="6"/>
      <c r="E34" s="6"/>
      <c r="F34" s="19">
        <f>F35*100/D35</f>
        <v>30.40092716</v>
      </c>
      <c r="G34" s="19">
        <f>G35*100/D35</f>
        <v>25.62712115</v>
      </c>
      <c r="H34" s="19">
        <f>H35*100/D35</f>
        <v>35.47907137</v>
      </c>
      <c r="I34" s="6"/>
      <c r="J34" s="19">
        <f>J35*100/D35</f>
        <v>0</v>
      </c>
      <c r="K34" s="6"/>
      <c r="L34" s="19" t="str">
        <f>L35*100/J35</f>
        <v>#DIV/0!</v>
      </c>
      <c r="M34" s="19">
        <f>M35*100/D35</f>
        <v>8.492880331</v>
      </c>
      <c r="N34" s="6"/>
      <c r="O34" s="6"/>
      <c r="P34" s="6"/>
      <c r="Q34" s="6"/>
      <c r="R34" s="6"/>
      <c r="S34" s="6"/>
    </row>
    <row r="35">
      <c r="A35" s="6"/>
      <c r="B35" s="20">
        <f t="shared" ref="B35:D35" si="2">SUM(B2:B32)</f>
        <v>285805</v>
      </c>
      <c r="C35" s="20">
        <f t="shared" si="2"/>
        <v>39491</v>
      </c>
      <c r="D35" s="20">
        <f t="shared" si="2"/>
        <v>325296</v>
      </c>
      <c r="E35" s="6"/>
      <c r="F35" s="20">
        <f t="shared" ref="F35:G35" si="3">SUM(F2:F32)</f>
        <v>98893</v>
      </c>
      <c r="G35" s="20">
        <f t="shared" si="3"/>
        <v>83364</v>
      </c>
      <c r="H35" s="20">
        <f>SUM(H3:H32)</f>
        <v>115412</v>
      </c>
      <c r="I35" s="6"/>
      <c r="J35" s="20">
        <f>SUM(J2:J32)</f>
        <v>0</v>
      </c>
      <c r="K35" s="6"/>
      <c r="L35" s="20">
        <f>SUM(L2:L32)</f>
        <v>0</v>
      </c>
      <c r="M35" s="20">
        <f>D35-F35-G35-H35-J35-L35</f>
        <v>27627</v>
      </c>
      <c r="N35" s="6"/>
      <c r="O35" s="6"/>
      <c r="P35" s="6"/>
      <c r="Q35" s="6"/>
      <c r="R35" s="6"/>
      <c r="S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21">
        <f>F35+G35+H35+J35+L35</f>
        <v>297669</v>
      </c>
      <c r="M37" s="6"/>
      <c r="N37" s="6"/>
      <c r="O37" s="6"/>
      <c r="P37" s="6"/>
      <c r="Q37" s="6"/>
      <c r="R37" s="6"/>
      <c r="S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4" t="s">
        <v>7</v>
      </c>
      <c r="L1" s="4" t="s">
        <v>9</v>
      </c>
      <c r="M1" s="4" t="s">
        <v>10</v>
      </c>
      <c r="N1" s="6"/>
      <c r="O1" s="6"/>
      <c r="P1" s="6" t="s">
        <v>26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8">
        <v>45931.0</v>
      </c>
      <c r="B2" s="9">
        <v>11880.0</v>
      </c>
      <c r="C2" s="9">
        <v>980.0</v>
      </c>
      <c r="D2" s="11">
        <f t="shared" ref="D2:D32" si="1">B2+C2</f>
        <v>12860</v>
      </c>
      <c r="E2" s="3"/>
      <c r="F2" s="9">
        <v>84530.0</v>
      </c>
      <c r="G2" s="9"/>
      <c r="H2" s="9"/>
      <c r="I2" s="12"/>
      <c r="J2" s="9">
        <v>2000.0</v>
      </c>
      <c r="K2" s="12" t="s">
        <v>42</v>
      </c>
      <c r="L2" s="10"/>
      <c r="M2" s="10"/>
      <c r="N2" s="6"/>
      <c r="O2" s="6"/>
      <c r="P2" s="6" t="s">
        <v>13</v>
      </c>
      <c r="Q2" s="6" t="s">
        <v>12</v>
      </c>
      <c r="R2" s="6" t="s">
        <v>13</v>
      </c>
      <c r="S2" s="6" t="s">
        <v>14</v>
      </c>
      <c r="T2" s="6"/>
      <c r="U2" s="6"/>
      <c r="V2" s="6"/>
      <c r="W2" s="6"/>
      <c r="X2" s="6"/>
      <c r="Y2" s="6"/>
      <c r="Z2" s="6"/>
      <c r="AA2" s="6"/>
    </row>
    <row r="3">
      <c r="A3" s="8">
        <v>45932.0</v>
      </c>
      <c r="B3" s="9">
        <v>11075.0</v>
      </c>
      <c r="C3" s="9">
        <v>0.0</v>
      </c>
      <c r="D3" s="11">
        <f t="shared" si="1"/>
        <v>11075</v>
      </c>
      <c r="E3" s="3"/>
      <c r="F3" s="9">
        <v>13795.0</v>
      </c>
      <c r="G3" s="14">
        <v>76741.0</v>
      </c>
      <c r="H3" s="9">
        <v>29328.0</v>
      </c>
      <c r="I3" s="12" t="s">
        <v>18</v>
      </c>
      <c r="J3" s="9">
        <v>2447.0</v>
      </c>
      <c r="K3" s="12" t="s">
        <v>49</v>
      </c>
      <c r="L3" s="10"/>
      <c r="M3" s="10"/>
      <c r="N3" s="15" t="s">
        <v>2</v>
      </c>
      <c r="O3" s="6"/>
      <c r="P3" s="6"/>
      <c r="Q3" s="7">
        <v>232918.0</v>
      </c>
      <c r="R3" s="6"/>
      <c r="S3" s="7">
        <v>106346.0</v>
      </c>
      <c r="T3" s="6"/>
      <c r="U3" s="6"/>
      <c r="V3" s="6"/>
      <c r="W3" s="6"/>
      <c r="X3" s="6"/>
      <c r="Y3" s="6"/>
      <c r="Z3" s="6"/>
      <c r="AA3" s="6"/>
    </row>
    <row r="4">
      <c r="A4" s="8">
        <v>45933.0</v>
      </c>
      <c r="B4" s="9">
        <v>17085.0</v>
      </c>
      <c r="C4" s="9">
        <v>2700.0</v>
      </c>
      <c r="D4" s="11">
        <f t="shared" si="1"/>
        <v>19785</v>
      </c>
      <c r="E4" s="3"/>
      <c r="F4" s="10"/>
      <c r="G4" s="10"/>
      <c r="H4" s="9">
        <v>16185.0</v>
      </c>
      <c r="I4" s="12" t="s">
        <v>28</v>
      </c>
      <c r="J4" s="9">
        <v>990.0</v>
      </c>
      <c r="K4" s="12" t="s">
        <v>50</v>
      </c>
      <c r="L4" s="10"/>
      <c r="M4" s="10"/>
      <c r="N4" s="16" t="s">
        <v>17</v>
      </c>
      <c r="O4" s="6"/>
      <c r="P4" s="7">
        <v>232945.0</v>
      </c>
      <c r="Q4" s="7">
        <v>233111.0</v>
      </c>
      <c r="R4" s="7">
        <v>106373.0</v>
      </c>
      <c r="S4" s="7">
        <v>106538.0</v>
      </c>
      <c r="T4" s="6"/>
      <c r="U4" s="6"/>
      <c r="V4" s="6"/>
      <c r="W4" s="6"/>
      <c r="X4" s="6"/>
      <c r="Y4" s="6"/>
      <c r="Z4" s="6"/>
      <c r="AA4" s="6"/>
    </row>
    <row r="5">
      <c r="A5" s="8">
        <v>45934.0</v>
      </c>
      <c r="B5" s="9">
        <v>10535.0</v>
      </c>
      <c r="C5" s="9">
        <v>290.0</v>
      </c>
      <c r="D5" s="11">
        <f t="shared" si="1"/>
        <v>10825</v>
      </c>
      <c r="E5" s="3"/>
      <c r="F5" s="10"/>
      <c r="G5" s="10"/>
      <c r="H5" s="9">
        <v>2200.0</v>
      </c>
      <c r="I5" s="12" t="s">
        <v>51</v>
      </c>
      <c r="J5" s="9"/>
      <c r="K5" s="12"/>
      <c r="L5" s="10"/>
      <c r="M5" s="10"/>
      <c r="N5" s="17" t="s">
        <v>19</v>
      </c>
      <c r="O5" s="6"/>
      <c r="P5" s="7">
        <v>233136.0</v>
      </c>
      <c r="Q5" s="7">
        <v>233316.0</v>
      </c>
      <c r="R5" s="7">
        <v>106563.0</v>
      </c>
      <c r="S5" s="7">
        <v>106743.0</v>
      </c>
      <c r="T5" s="6"/>
      <c r="U5" s="6"/>
      <c r="V5" s="6"/>
      <c r="W5" s="6"/>
      <c r="X5" s="6"/>
      <c r="Y5" s="6"/>
      <c r="Z5" s="6"/>
      <c r="AA5" s="6"/>
    </row>
    <row r="6">
      <c r="A6" s="8">
        <v>45935.0</v>
      </c>
      <c r="B6" s="9">
        <v>7030.0</v>
      </c>
      <c r="C6" s="9">
        <v>0.0</v>
      </c>
      <c r="D6" s="11">
        <f t="shared" si="1"/>
        <v>7030</v>
      </c>
      <c r="E6" s="3"/>
      <c r="F6" s="10"/>
      <c r="G6" s="9"/>
      <c r="H6" s="10"/>
      <c r="I6" s="13"/>
      <c r="J6" s="9">
        <v>1000.0</v>
      </c>
      <c r="K6" s="12" t="s">
        <v>24</v>
      </c>
      <c r="L6" s="10"/>
      <c r="M6" s="10"/>
      <c r="N6" s="6"/>
      <c r="O6" s="6"/>
      <c r="P6" s="7">
        <v>233343.0</v>
      </c>
      <c r="Q6" s="7">
        <v>233510.0</v>
      </c>
      <c r="R6" s="7">
        <v>106770.0</v>
      </c>
      <c r="S6" s="7">
        <v>106935.0</v>
      </c>
      <c r="T6" s="6"/>
      <c r="U6" s="6"/>
      <c r="V6" s="6"/>
      <c r="W6" s="6"/>
      <c r="X6" s="6"/>
      <c r="Y6" s="6"/>
      <c r="Z6" s="6"/>
      <c r="AA6" s="6"/>
    </row>
    <row r="7">
      <c r="A7" s="8">
        <v>45936.0</v>
      </c>
      <c r="B7" s="9">
        <v>6012.0</v>
      </c>
      <c r="C7" s="9">
        <v>0.0</v>
      </c>
      <c r="D7" s="11">
        <f t="shared" si="1"/>
        <v>6012</v>
      </c>
      <c r="E7" s="3"/>
      <c r="F7" s="10"/>
      <c r="G7" s="10"/>
      <c r="H7" s="10"/>
      <c r="I7" s="13"/>
      <c r="J7" s="9">
        <v>5525.0</v>
      </c>
      <c r="K7" s="12" t="s">
        <v>27</v>
      </c>
      <c r="L7" s="10"/>
      <c r="M7" s="10"/>
      <c r="N7" s="6"/>
      <c r="O7" s="6"/>
      <c r="P7" s="7">
        <v>233538.0</v>
      </c>
      <c r="Q7" s="7">
        <v>233691.0</v>
      </c>
      <c r="R7" s="7">
        <v>106965.0</v>
      </c>
      <c r="S7" s="7">
        <v>107117.0</v>
      </c>
      <c r="T7" s="6"/>
      <c r="U7" s="6"/>
      <c r="V7" s="6"/>
      <c r="W7" s="6"/>
      <c r="X7" s="6"/>
      <c r="Y7" s="6"/>
      <c r="Z7" s="6"/>
      <c r="AA7" s="6"/>
    </row>
    <row r="8">
      <c r="A8" s="8">
        <v>45937.0</v>
      </c>
      <c r="B8" s="9">
        <v>14460.0</v>
      </c>
      <c r="C8" s="9">
        <v>960.0</v>
      </c>
      <c r="D8" s="11">
        <f t="shared" si="1"/>
        <v>15420</v>
      </c>
      <c r="E8" s="3"/>
      <c r="F8" s="10"/>
      <c r="G8" s="10"/>
      <c r="H8" s="10"/>
      <c r="I8" s="13"/>
      <c r="J8" s="10"/>
      <c r="K8" s="13"/>
      <c r="L8" s="10"/>
      <c r="M8" s="10"/>
      <c r="N8" s="6"/>
      <c r="O8" s="6"/>
      <c r="P8" s="7">
        <v>233719.0</v>
      </c>
      <c r="Q8" s="7">
        <v>233879.0</v>
      </c>
      <c r="R8" s="7">
        <v>107145.0</v>
      </c>
      <c r="S8" s="7">
        <v>107304.0</v>
      </c>
      <c r="T8" s="6"/>
      <c r="U8" s="6"/>
      <c r="V8" s="6"/>
      <c r="W8" s="6"/>
      <c r="X8" s="6"/>
      <c r="Y8" s="6"/>
      <c r="Z8" s="6"/>
      <c r="AA8" s="6"/>
    </row>
    <row r="9">
      <c r="A9" s="8">
        <v>45938.0</v>
      </c>
      <c r="B9" s="9">
        <v>8290.0</v>
      </c>
      <c r="C9" s="9">
        <v>420.0</v>
      </c>
      <c r="D9" s="11">
        <f t="shared" si="1"/>
        <v>8710</v>
      </c>
      <c r="E9" s="3"/>
      <c r="F9" s="10"/>
      <c r="G9" s="10"/>
      <c r="H9" s="10"/>
      <c r="I9" s="13"/>
      <c r="J9" s="10"/>
      <c r="K9" s="13"/>
      <c r="L9" s="10"/>
      <c r="M9" s="10"/>
      <c r="N9" s="6"/>
      <c r="O9" s="6"/>
      <c r="P9" s="7">
        <v>233903.0</v>
      </c>
      <c r="Q9" s="7">
        <v>234094.0</v>
      </c>
      <c r="R9" s="7">
        <v>107328.0</v>
      </c>
      <c r="S9" s="7">
        <v>107519.0</v>
      </c>
      <c r="T9" s="6"/>
      <c r="U9" s="6"/>
      <c r="V9" s="6"/>
      <c r="W9" s="6"/>
      <c r="X9" s="6"/>
      <c r="Y9" s="6"/>
      <c r="Z9" s="6"/>
      <c r="AA9" s="6"/>
    </row>
    <row r="10">
      <c r="A10" s="8">
        <v>45939.0</v>
      </c>
      <c r="B10" s="9">
        <v>4300.0</v>
      </c>
      <c r="C10" s="9">
        <v>0.0</v>
      </c>
      <c r="D10" s="11">
        <f t="shared" si="1"/>
        <v>4300</v>
      </c>
      <c r="E10" s="3"/>
      <c r="F10" s="10"/>
      <c r="G10" s="10"/>
      <c r="H10" s="10"/>
      <c r="I10" s="13"/>
      <c r="J10" s="10"/>
      <c r="K10" s="13"/>
      <c r="L10" s="10"/>
      <c r="M10" s="10"/>
      <c r="N10" s="6"/>
      <c r="O10" s="6"/>
      <c r="P10" s="7">
        <v>234121.0</v>
      </c>
      <c r="Q10" s="7">
        <v>234283.0</v>
      </c>
      <c r="R10" s="7">
        <v>107546.0</v>
      </c>
      <c r="S10" s="7">
        <v>107707.0</v>
      </c>
      <c r="T10" s="6"/>
      <c r="U10" s="6"/>
      <c r="V10" s="6"/>
      <c r="W10" s="6"/>
      <c r="X10" s="6"/>
      <c r="Y10" s="6"/>
      <c r="Z10" s="6"/>
      <c r="AA10" s="6"/>
    </row>
    <row r="11">
      <c r="A11" s="8">
        <v>45940.0</v>
      </c>
      <c r="B11" s="9">
        <v>10840.0</v>
      </c>
      <c r="C11" s="9">
        <v>0.0</v>
      </c>
      <c r="D11" s="11">
        <f t="shared" si="1"/>
        <v>10840</v>
      </c>
      <c r="E11" s="3"/>
      <c r="F11" s="10"/>
      <c r="G11" s="10"/>
      <c r="H11" s="10"/>
      <c r="I11" s="13"/>
      <c r="J11" s="10"/>
      <c r="K11" s="13"/>
      <c r="L11" s="10"/>
      <c r="M11" s="10"/>
      <c r="N11" s="6"/>
      <c r="O11" s="6"/>
      <c r="P11" s="7">
        <v>234311.0</v>
      </c>
      <c r="Q11" s="7">
        <v>234469.0</v>
      </c>
      <c r="R11" s="7">
        <v>107735.0</v>
      </c>
      <c r="S11" s="7">
        <v>107892.0</v>
      </c>
      <c r="T11" s="6"/>
      <c r="U11" s="6"/>
      <c r="V11" s="6"/>
      <c r="W11" s="6"/>
      <c r="X11" s="6"/>
      <c r="Y11" s="6"/>
      <c r="Z11" s="6"/>
      <c r="AA11" s="6"/>
    </row>
    <row r="12">
      <c r="A12" s="8">
        <v>45941.0</v>
      </c>
      <c r="B12" s="9">
        <v>4644.0</v>
      </c>
      <c r="C12" s="9">
        <v>200.0</v>
      </c>
      <c r="D12" s="11">
        <f t="shared" si="1"/>
        <v>4844</v>
      </c>
      <c r="E12" s="3"/>
      <c r="F12" s="10"/>
      <c r="G12" s="10"/>
      <c r="H12" s="10"/>
      <c r="I12" s="13"/>
      <c r="J12" s="10"/>
      <c r="K12" s="13"/>
      <c r="L12" s="10"/>
      <c r="M12" s="10"/>
      <c r="N12" s="6"/>
      <c r="O12" s="6"/>
      <c r="P12" s="7">
        <v>234498.0</v>
      </c>
      <c r="Q12" s="7">
        <v>234644.0</v>
      </c>
      <c r="R12" s="7">
        <v>107921.0</v>
      </c>
      <c r="S12" s="7">
        <v>108067.0</v>
      </c>
      <c r="T12" s="6"/>
      <c r="U12" s="6"/>
      <c r="V12" s="6"/>
      <c r="W12" s="6"/>
      <c r="X12" s="6"/>
      <c r="Y12" s="6"/>
      <c r="Z12" s="6"/>
      <c r="AA12" s="6"/>
    </row>
    <row r="13">
      <c r="A13" s="8">
        <v>45942.0</v>
      </c>
      <c r="B13" s="9">
        <v>7740.0</v>
      </c>
      <c r="C13" s="9">
        <v>730.0</v>
      </c>
      <c r="D13" s="11">
        <f t="shared" si="1"/>
        <v>8470</v>
      </c>
      <c r="E13" s="3"/>
      <c r="F13" s="10"/>
      <c r="G13" s="10"/>
      <c r="H13" s="10"/>
      <c r="I13" s="13"/>
      <c r="J13" s="10"/>
      <c r="K13" s="13"/>
      <c r="L13" s="10"/>
      <c r="M13" s="10"/>
      <c r="N13" s="6"/>
      <c r="O13" s="6"/>
      <c r="P13" s="7">
        <v>234672.0</v>
      </c>
      <c r="Q13" s="7">
        <v>234625.0</v>
      </c>
      <c r="R13" s="7">
        <v>108095.0</v>
      </c>
      <c r="S13" s="7">
        <v>108248.0</v>
      </c>
      <c r="T13" s="6"/>
      <c r="U13" s="6"/>
      <c r="V13" s="6"/>
      <c r="W13" s="6"/>
      <c r="X13" s="6"/>
      <c r="Y13" s="6"/>
      <c r="Z13" s="6"/>
      <c r="AA13" s="6"/>
    </row>
    <row r="14">
      <c r="A14" s="8">
        <v>45943.0</v>
      </c>
      <c r="B14" s="9">
        <v>4050.0</v>
      </c>
      <c r="C14" s="9">
        <v>410.0</v>
      </c>
      <c r="D14" s="11">
        <f t="shared" si="1"/>
        <v>4460</v>
      </c>
      <c r="E14" s="3"/>
      <c r="F14" s="10"/>
      <c r="G14" s="10"/>
      <c r="H14" s="10"/>
      <c r="I14" s="13"/>
      <c r="J14" s="10"/>
      <c r="K14" s="13"/>
      <c r="L14" s="10"/>
      <c r="M14" s="10"/>
      <c r="N14" s="6"/>
      <c r="O14" s="6"/>
      <c r="P14" s="7">
        <v>234849.0</v>
      </c>
      <c r="Q14" s="7">
        <v>235033.0</v>
      </c>
      <c r="R14" s="7">
        <v>108272.0</v>
      </c>
      <c r="S14" s="7">
        <v>108456.0</v>
      </c>
      <c r="T14" s="6"/>
      <c r="U14" s="6"/>
      <c r="V14" s="6"/>
      <c r="W14" s="6"/>
      <c r="X14" s="6"/>
      <c r="Y14" s="6"/>
      <c r="Z14" s="6"/>
      <c r="AA14" s="6"/>
    </row>
    <row r="15">
      <c r="A15" s="8">
        <v>45944.0</v>
      </c>
      <c r="B15" s="9">
        <v>6738.0</v>
      </c>
      <c r="C15" s="9">
        <v>270.0</v>
      </c>
      <c r="D15" s="11">
        <f t="shared" si="1"/>
        <v>7008</v>
      </c>
      <c r="E15" s="3"/>
      <c r="F15" s="10"/>
      <c r="G15" s="10"/>
      <c r="H15" s="10"/>
      <c r="I15" s="13"/>
      <c r="J15" s="10"/>
      <c r="K15" s="13"/>
      <c r="L15" s="10"/>
      <c r="M15" s="10"/>
      <c r="N15" s="6"/>
      <c r="O15" s="6"/>
      <c r="P15" s="7">
        <v>235056.0</v>
      </c>
      <c r="Q15" s="7">
        <v>235236.0</v>
      </c>
      <c r="R15" s="7">
        <v>108479.0</v>
      </c>
      <c r="S15" s="7">
        <v>108658.0</v>
      </c>
      <c r="T15" s="6"/>
      <c r="U15" s="6"/>
      <c r="V15" s="6"/>
      <c r="W15" s="6"/>
      <c r="X15" s="6"/>
      <c r="Y15" s="6"/>
      <c r="Z15" s="6"/>
      <c r="AA15" s="6"/>
    </row>
    <row r="16">
      <c r="A16" s="8">
        <v>45945.0</v>
      </c>
      <c r="B16" s="9">
        <v>6170.0</v>
      </c>
      <c r="C16" s="9">
        <v>330.0</v>
      </c>
      <c r="D16" s="11">
        <f t="shared" si="1"/>
        <v>6500</v>
      </c>
      <c r="E16" s="3"/>
      <c r="F16" s="10"/>
      <c r="G16" s="10"/>
      <c r="H16" s="10"/>
      <c r="I16" s="13"/>
      <c r="J16" s="10"/>
      <c r="K16" s="13"/>
      <c r="L16" s="10"/>
      <c r="M16" s="10"/>
      <c r="N16" s="6"/>
      <c r="O16" s="6"/>
      <c r="P16" s="7">
        <v>235260.0</v>
      </c>
      <c r="Q16" s="7">
        <v>235450.0</v>
      </c>
      <c r="R16" s="7">
        <v>108682.0</v>
      </c>
      <c r="S16" s="7">
        <v>108871.0</v>
      </c>
      <c r="T16" s="6"/>
      <c r="U16" s="6"/>
      <c r="V16" s="6"/>
      <c r="W16" s="6"/>
      <c r="X16" s="6"/>
      <c r="Y16" s="6"/>
      <c r="Z16" s="6"/>
      <c r="AA16" s="6"/>
    </row>
    <row r="17">
      <c r="A17" s="8">
        <v>45946.0</v>
      </c>
      <c r="B17" s="9">
        <v>9416.0</v>
      </c>
      <c r="C17" s="9">
        <v>0.0</v>
      </c>
      <c r="D17" s="11">
        <f t="shared" si="1"/>
        <v>9416</v>
      </c>
      <c r="E17" s="3"/>
      <c r="F17" s="10"/>
      <c r="G17" s="10"/>
      <c r="H17" s="10"/>
      <c r="I17" s="13"/>
      <c r="J17" s="10"/>
      <c r="K17" s="13"/>
      <c r="L17" s="10"/>
      <c r="M17" s="10"/>
      <c r="N17" s="6"/>
      <c r="O17" s="6"/>
      <c r="P17" s="7">
        <v>235473.0</v>
      </c>
      <c r="Q17" s="7">
        <v>235649.0</v>
      </c>
      <c r="R17" s="7">
        <v>108895.0</v>
      </c>
      <c r="S17" s="7">
        <v>109070.0</v>
      </c>
      <c r="T17" s="6"/>
      <c r="U17" s="6"/>
      <c r="V17" s="6"/>
      <c r="W17" s="6"/>
      <c r="X17" s="6"/>
      <c r="Y17" s="6"/>
      <c r="Z17" s="6"/>
      <c r="AA17" s="6"/>
    </row>
    <row r="18">
      <c r="A18" s="8">
        <v>45947.0</v>
      </c>
      <c r="B18" s="9">
        <v>9416.0</v>
      </c>
      <c r="C18" s="9">
        <v>0.0</v>
      </c>
      <c r="D18" s="11">
        <f t="shared" si="1"/>
        <v>9416</v>
      </c>
      <c r="E18" s="3"/>
      <c r="F18" s="10"/>
      <c r="G18" s="10"/>
      <c r="H18" s="10"/>
      <c r="I18" s="13"/>
      <c r="J18" s="10"/>
      <c r="K18" s="13"/>
      <c r="L18" s="10"/>
      <c r="M18" s="10"/>
      <c r="N18" s="6"/>
      <c r="O18" s="6"/>
      <c r="P18" s="7">
        <v>235882.0</v>
      </c>
      <c r="Q18" s="7">
        <v>236048.0</v>
      </c>
      <c r="R18" s="7">
        <v>109303.0</v>
      </c>
      <c r="S18" s="7">
        <v>109469.0</v>
      </c>
      <c r="T18" s="6"/>
      <c r="U18" s="6"/>
      <c r="V18" s="6"/>
      <c r="W18" s="6"/>
      <c r="X18" s="6"/>
      <c r="Y18" s="6"/>
      <c r="Z18" s="6"/>
      <c r="AA18" s="6"/>
    </row>
    <row r="19">
      <c r="A19" s="8">
        <v>45948.0</v>
      </c>
      <c r="B19" s="9">
        <v>7989.0</v>
      </c>
      <c r="C19" s="9">
        <v>1100.0</v>
      </c>
      <c r="D19" s="11">
        <f t="shared" si="1"/>
        <v>9089</v>
      </c>
      <c r="E19" s="3"/>
      <c r="F19" s="10"/>
      <c r="G19" s="10"/>
      <c r="H19" s="10"/>
      <c r="I19" s="13"/>
      <c r="J19" s="10"/>
      <c r="K19" s="13"/>
      <c r="L19" s="10"/>
      <c r="M19" s="10"/>
      <c r="N19" s="6"/>
      <c r="O19" s="6"/>
      <c r="P19" s="7">
        <v>235882.0</v>
      </c>
      <c r="Q19" s="7">
        <v>236048.0</v>
      </c>
      <c r="R19" s="7">
        <v>109303.0</v>
      </c>
      <c r="S19" s="7">
        <v>109469.0</v>
      </c>
      <c r="T19" s="6"/>
      <c r="U19" s="6"/>
      <c r="V19" s="6"/>
      <c r="W19" s="6"/>
      <c r="X19" s="6"/>
      <c r="Y19" s="6"/>
      <c r="Z19" s="6"/>
      <c r="AA19" s="6"/>
    </row>
    <row r="20">
      <c r="A20" s="8">
        <v>45949.0</v>
      </c>
      <c r="B20" s="9">
        <v>5922.0</v>
      </c>
      <c r="C20" s="9">
        <v>1230.0</v>
      </c>
      <c r="D20" s="11">
        <f t="shared" si="1"/>
        <v>7152</v>
      </c>
      <c r="E20" s="3"/>
      <c r="F20" s="10"/>
      <c r="G20" s="10"/>
      <c r="H20" s="10"/>
      <c r="I20" s="13"/>
      <c r="J20" s="10"/>
      <c r="K20" s="13"/>
      <c r="L20" s="10"/>
      <c r="M20" s="10"/>
      <c r="N20" s="6"/>
      <c r="O20" s="6"/>
      <c r="P20" s="7">
        <v>236077.0</v>
      </c>
      <c r="Q20" s="7">
        <v>236223.0</v>
      </c>
      <c r="R20" s="7">
        <v>109497.0</v>
      </c>
      <c r="S20" s="7">
        <v>109644.0</v>
      </c>
      <c r="T20" s="6"/>
      <c r="U20" s="6"/>
      <c r="V20" s="6"/>
      <c r="W20" s="6"/>
      <c r="X20" s="6"/>
      <c r="Y20" s="6"/>
      <c r="Z20" s="6"/>
      <c r="AA20" s="6"/>
    </row>
    <row r="21">
      <c r="A21" s="8">
        <v>45950.0</v>
      </c>
      <c r="B21" s="9">
        <v>3964.0</v>
      </c>
      <c r="C21" s="9">
        <v>0.0</v>
      </c>
      <c r="D21" s="11">
        <f t="shared" si="1"/>
        <v>3964</v>
      </c>
      <c r="E21" s="3"/>
      <c r="F21" s="10"/>
      <c r="G21" s="10"/>
      <c r="H21" s="10"/>
      <c r="I21" s="13"/>
      <c r="J21" s="10"/>
      <c r="K21" s="13"/>
      <c r="L21" s="10"/>
      <c r="M21" s="10"/>
      <c r="N21" s="6"/>
      <c r="O21" s="6"/>
      <c r="P21" s="7">
        <v>236248.0</v>
      </c>
      <c r="Q21" s="7">
        <v>236440.0</v>
      </c>
      <c r="R21" s="7">
        <v>109668.0</v>
      </c>
      <c r="S21" s="7">
        <v>109859.0</v>
      </c>
      <c r="T21" s="6"/>
      <c r="U21" s="6"/>
      <c r="V21" s="6"/>
      <c r="W21" s="6"/>
      <c r="X21" s="6"/>
      <c r="Y21" s="6"/>
      <c r="Z21" s="6"/>
      <c r="AA21" s="6"/>
    </row>
    <row r="22">
      <c r="A22" s="8">
        <v>45951.0</v>
      </c>
      <c r="B22" s="9">
        <v>9710.0</v>
      </c>
      <c r="C22" s="9">
        <v>245.0</v>
      </c>
      <c r="D22" s="11">
        <f t="shared" si="1"/>
        <v>9955</v>
      </c>
      <c r="E22" s="3"/>
      <c r="F22" s="10"/>
      <c r="G22" s="10"/>
      <c r="H22" s="10"/>
      <c r="I22" s="13"/>
      <c r="J22" s="10"/>
      <c r="K22" s="13"/>
      <c r="L22" s="10"/>
      <c r="M22" s="10"/>
      <c r="N22" s="6"/>
      <c r="O22" s="6"/>
      <c r="P22" s="7">
        <v>236462.0</v>
      </c>
      <c r="Q22" s="7">
        <v>236645.0</v>
      </c>
      <c r="R22" s="7">
        <v>109882.0</v>
      </c>
      <c r="S22" s="7">
        <v>110064.0</v>
      </c>
      <c r="T22" s="6"/>
      <c r="U22" s="6"/>
      <c r="V22" s="6"/>
      <c r="W22" s="6"/>
      <c r="X22" s="6"/>
      <c r="Y22" s="6"/>
      <c r="Z22" s="6"/>
      <c r="AA22" s="6"/>
    </row>
    <row r="23">
      <c r="A23" s="8">
        <v>45952.0</v>
      </c>
      <c r="B23" s="9">
        <v>3000.0</v>
      </c>
      <c r="C23" s="9">
        <v>1220.0</v>
      </c>
      <c r="D23" s="11">
        <f t="shared" si="1"/>
        <v>4220</v>
      </c>
      <c r="E23" s="3"/>
      <c r="F23" s="10"/>
      <c r="G23" s="10"/>
      <c r="H23" s="10"/>
      <c r="I23" s="13"/>
      <c r="J23" s="10"/>
      <c r="K23" s="13"/>
      <c r="L23" s="10"/>
      <c r="M23" s="10"/>
      <c r="N23" s="6"/>
      <c r="O23" s="6"/>
      <c r="P23" s="7">
        <v>236670.0</v>
      </c>
      <c r="Q23" s="7">
        <v>236860.0</v>
      </c>
      <c r="R23" s="7">
        <v>110088.0</v>
      </c>
      <c r="S23" s="7">
        <v>110278.0</v>
      </c>
      <c r="T23" s="6"/>
      <c r="U23" s="6"/>
      <c r="V23" s="6"/>
      <c r="W23" s="6"/>
      <c r="X23" s="6"/>
      <c r="Y23" s="6"/>
      <c r="Z23" s="6"/>
      <c r="AA23" s="6"/>
    </row>
    <row r="24">
      <c r="A24" s="8">
        <v>45953.0</v>
      </c>
      <c r="B24" s="9">
        <v>8630.0</v>
      </c>
      <c r="C24" s="9">
        <v>180.0</v>
      </c>
      <c r="D24" s="11">
        <f t="shared" si="1"/>
        <v>8810</v>
      </c>
      <c r="E24" s="3"/>
      <c r="F24" s="10"/>
      <c r="G24" s="10"/>
      <c r="H24" s="9"/>
      <c r="I24" s="13"/>
      <c r="J24" s="10"/>
      <c r="K24" s="13"/>
      <c r="L24" s="10"/>
      <c r="M24" s="10"/>
      <c r="N24" s="6"/>
      <c r="O24" s="6"/>
      <c r="P24" s="7">
        <v>236885.0</v>
      </c>
      <c r="Q24" s="7">
        <v>237079.0</v>
      </c>
      <c r="R24" s="7">
        <v>110303.0</v>
      </c>
      <c r="S24" s="7">
        <v>110497.0</v>
      </c>
      <c r="T24" s="6"/>
      <c r="U24" s="6"/>
      <c r="V24" s="6"/>
      <c r="W24" s="6"/>
      <c r="X24" s="6"/>
      <c r="Y24" s="6"/>
      <c r="Z24" s="6"/>
      <c r="AA24" s="6"/>
    </row>
    <row r="25">
      <c r="A25" s="8">
        <v>45954.0</v>
      </c>
      <c r="B25" s="9">
        <v>3994.0</v>
      </c>
      <c r="C25" s="9">
        <v>1110.0</v>
      </c>
      <c r="D25" s="11">
        <f t="shared" si="1"/>
        <v>5104</v>
      </c>
      <c r="E25" s="3"/>
      <c r="F25" s="10"/>
      <c r="G25" s="10"/>
      <c r="H25" s="10"/>
      <c r="I25" s="13"/>
      <c r="J25" s="10"/>
      <c r="K25" s="13"/>
      <c r="L25" s="10"/>
      <c r="M25" s="10"/>
      <c r="N25" s="6"/>
      <c r="O25" s="6"/>
      <c r="P25" s="7">
        <v>237103.0</v>
      </c>
      <c r="Q25" s="7">
        <v>237302.0</v>
      </c>
      <c r="R25" s="7">
        <v>110520.0</v>
      </c>
      <c r="S25" s="7">
        <v>110719.0</v>
      </c>
      <c r="T25" s="6"/>
      <c r="U25" s="6"/>
      <c r="V25" s="6"/>
      <c r="W25" s="6"/>
      <c r="X25" s="6"/>
      <c r="Y25" s="6"/>
      <c r="Z25" s="6"/>
      <c r="AA25" s="6"/>
    </row>
    <row r="26">
      <c r="A26" s="8">
        <v>45955.0</v>
      </c>
      <c r="B26" s="9">
        <v>5982.0</v>
      </c>
      <c r="C26" s="9">
        <v>640.0</v>
      </c>
      <c r="D26" s="11">
        <f t="shared" si="1"/>
        <v>6622</v>
      </c>
      <c r="E26" s="3"/>
      <c r="F26" s="10"/>
      <c r="G26" s="10"/>
      <c r="H26" s="10"/>
      <c r="I26" s="13"/>
      <c r="J26" s="10"/>
      <c r="K26" s="13"/>
      <c r="L26" s="10"/>
      <c r="M26" s="10"/>
      <c r="N26" s="6"/>
      <c r="O26" s="6"/>
      <c r="P26" s="7">
        <v>237329.0</v>
      </c>
      <c r="Q26" s="7">
        <v>237482.0</v>
      </c>
      <c r="R26" s="7">
        <v>110746.0</v>
      </c>
      <c r="S26" s="7">
        <v>110898.0</v>
      </c>
      <c r="T26" s="6"/>
      <c r="U26" s="6"/>
      <c r="V26" s="6"/>
      <c r="W26" s="6"/>
      <c r="X26" s="6"/>
      <c r="Y26" s="6"/>
      <c r="Z26" s="6"/>
      <c r="AA26" s="6"/>
    </row>
    <row r="27">
      <c r="A27" s="8">
        <v>45956.0</v>
      </c>
      <c r="B27" s="9">
        <v>3570.0</v>
      </c>
      <c r="C27" s="9">
        <v>0.0</v>
      </c>
      <c r="D27" s="11">
        <f t="shared" si="1"/>
        <v>3570</v>
      </c>
      <c r="E27" s="3"/>
      <c r="F27" s="10"/>
      <c r="G27" s="10"/>
      <c r="H27" s="10"/>
      <c r="I27" s="13"/>
      <c r="J27" s="10"/>
      <c r="K27" s="13"/>
      <c r="L27" s="10"/>
      <c r="M27" s="10"/>
      <c r="N27" s="6"/>
      <c r="O27" s="6"/>
      <c r="P27" s="7">
        <v>237511.0</v>
      </c>
      <c r="Q27" s="7">
        <v>237661.0</v>
      </c>
      <c r="R27" s="7">
        <v>110927.0</v>
      </c>
      <c r="S27" s="7">
        <v>111077.0</v>
      </c>
      <c r="T27" s="6"/>
      <c r="U27" s="6"/>
      <c r="V27" s="6"/>
      <c r="W27" s="6"/>
      <c r="X27" s="6"/>
      <c r="Y27" s="6"/>
      <c r="Z27" s="6"/>
      <c r="AA27" s="6"/>
    </row>
    <row r="28">
      <c r="A28" s="8">
        <v>45957.0</v>
      </c>
      <c r="B28" s="9">
        <v>8217.0</v>
      </c>
      <c r="C28" s="9">
        <v>200.0</v>
      </c>
      <c r="D28" s="11">
        <f t="shared" si="1"/>
        <v>8417</v>
      </c>
      <c r="E28" s="3"/>
      <c r="F28" s="10"/>
      <c r="G28" s="10"/>
      <c r="H28" s="10"/>
      <c r="I28" s="13"/>
      <c r="J28" s="10"/>
      <c r="K28" s="13"/>
      <c r="L28" s="10"/>
      <c r="M28" s="10"/>
      <c r="N28" s="6"/>
      <c r="O28" s="6"/>
      <c r="P28" s="7">
        <v>237685.0</v>
      </c>
      <c r="Q28" s="7">
        <v>237874.0</v>
      </c>
      <c r="R28" s="7">
        <v>111101.0</v>
      </c>
      <c r="S28" s="7">
        <v>111290.0</v>
      </c>
      <c r="T28" s="6"/>
      <c r="U28" s="6"/>
      <c r="V28" s="6"/>
      <c r="W28" s="6"/>
      <c r="X28" s="6"/>
      <c r="Y28" s="6"/>
      <c r="Z28" s="6"/>
      <c r="AA28" s="6"/>
    </row>
    <row r="29">
      <c r="A29" s="8">
        <v>45958.0</v>
      </c>
      <c r="B29" s="9">
        <v>4090.0</v>
      </c>
      <c r="C29" s="9">
        <v>820.0</v>
      </c>
      <c r="D29" s="11">
        <f t="shared" si="1"/>
        <v>4910</v>
      </c>
      <c r="E29" s="3"/>
      <c r="F29" s="10"/>
      <c r="G29" s="10"/>
      <c r="H29" s="10"/>
      <c r="I29" s="13"/>
      <c r="J29" s="10"/>
      <c r="K29" s="13"/>
      <c r="L29" s="10"/>
      <c r="M29" s="10"/>
      <c r="N29" s="6"/>
      <c r="O29" s="6"/>
      <c r="P29" s="7">
        <v>238088.0</v>
      </c>
      <c r="Q29" s="7">
        <v>238266.0</v>
      </c>
      <c r="R29" s="7">
        <v>111504.0</v>
      </c>
      <c r="S29" s="7">
        <v>111682.0</v>
      </c>
      <c r="T29" s="6"/>
      <c r="U29" s="6"/>
      <c r="V29" s="6"/>
      <c r="W29" s="6"/>
      <c r="X29" s="6"/>
      <c r="Y29" s="6"/>
      <c r="Z29" s="6"/>
      <c r="AA29" s="6"/>
    </row>
    <row r="30">
      <c r="A30" s="8">
        <v>45959.0</v>
      </c>
      <c r="B30" s="9">
        <v>3773.0</v>
      </c>
      <c r="C30" s="9">
        <v>270.0</v>
      </c>
      <c r="D30" s="11">
        <f t="shared" si="1"/>
        <v>4043</v>
      </c>
      <c r="E30" s="3"/>
      <c r="F30" s="10"/>
      <c r="G30" s="10"/>
      <c r="H30" s="10"/>
      <c r="I30" s="13"/>
      <c r="J30" s="10"/>
      <c r="K30" s="13"/>
      <c r="L30" s="10"/>
      <c r="M30" s="10"/>
      <c r="N30" s="6"/>
      <c r="O30" s="6"/>
      <c r="P30" s="7">
        <v>237899.0</v>
      </c>
      <c r="Q30" s="7">
        <v>238064.0</v>
      </c>
      <c r="R30" s="7">
        <v>111315.0</v>
      </c>
      <c r="S30" s="7">
        <v>111479.0</v>
      </c>
      <c r="T30" s="6"/>
      <c r="U30" s="6"/>
      <c r="V30" s="6"/>
      <c r="W30" s="6"/>
      <c r="X30" s="6"/>
      <c r="Y30" s="6"/>
      <c r="Z30" s="6"/>
      <c r="AA30" s="6"/>
    </row>
    <row r="31">
      <c r="A31" s="8">
        <v>45960.0</v>
      </c>
      <c r="B31" s="10"/>
      <c r="C31" s="10"/>
      <c r="D31" s="11">
        <f t="shared" si="1"/>
        <v>0</v>
      </c>
      <c r="E31" s="3"/>
      <c r="F31" s="10"/>
      <c r="G31" s="10"/>
      <c r="H31" s="10"/>
      <c r="I31" s="13"/>
      <c r="J31" s="10"/>
      <c r="K31" s="13"/>
      <c r="L31" s="10"/>
      <c r="M31" s="10"/>
      <c r="N31" s="6"/>
      <c r="O31" s="6"/>
      <c r="P31" s="7">
        <v>238301.0</v>
      </c>
      <c r="Q31" s="7">
        <v>238471.0</v>
      </c>
      <c r="R31" s="7">
        <v>111716.0</v>
      </c>
      <c r="S31" s="7">
        <v>111886.0</v>
      </c>
      <c r="T31" s="6"/>
      <c r="U31" s="6"/>
      <c r="V31" s="6"/>
      <c r="W31" s="6"/>
      <c r="X31" s="6"/>
      <c r="Y31" s="6"/>
      <c r="Z31" s="6"/>
      <c r="AA31" s="6"/>
    </row>
    <row r="32">
      <c r="A32" s="8">
        <v>45961.0</v>
      </c>
      <c r="B32" s="10"/>
      <c r="C32" s="10"/>
      <c r="D32" s="11">
        <f t="shared" si="1"/>
        <v>0</v>
      </c>
      <c r="E32" s="3"/>
      <c r="F32" s="10"/>
      <c r="G32" s="10"/>
      <c r="H32" s="10"/>
      <c r="I32" s="13"/>
      <c r="J32" s="10"/>
      <c r="K32" s="13"/>
      <c r="L32" s="10"/>
      <c r="M32" s="10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8"/>
      <c r="B33" s="10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19">
        <f>F35*100/D35</f>
        <v>42.23092683</v>
      </c>
      <c r="G34" s="19">
        <f>G35*100/D35</f>
        <v>32.96052434</v>
      </c>
      <c r="H34" s="19">
        <f>H35*100/D35</f>
        <v>20.49289816</v>
      </c>
      <c r="I34" s="6"/>
      <c r="J34" s="19">
        <f>J35*100/D35</f>
        <v>5.137720282</v>
      </c>
      <c r="K34" s="6"/>
      <c r="L34" s="19">
        <f>L35*100/J35</f>
        <v>0</v>
      </c>
      <c r="M34" s="19">
        <f>M35*100/D35</f>
        <v>-0.8220696053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20">
        <f t="shared" ref="B35:D35" si="2">SUM(B2:B32)</f>
        <v>218522</v>
      </c>
      <c r="C35" s="20">
        <f t="shared" si="2"/>
        <v>14305</v>
      </c>
      <c r="D35" s="20">
        <f t="shared" si="2"/>
        <v>232827</v>
      </c>
      <c r="E35" s="6"/>
      <c r="F35" s="20">
        <f t="shared" ref="F35:G35" si="3">SUM(F2:F32)</f>
        <v>98325</v>
      </c>
      <c r="G35" s="20">
        <f t="shared" si="3"/>
        <v>76741</v>
      </c>
      <c r="H35" s="20">
        <f>SUM(H3:H32)</f>
        <v>47713</v>
      </c>
      <c r="I35" s="6"/>
      <c r="J35" s="20">
        <f>SUM(J2:J32)</f>
        <v>11962</v>
      </c>
      <c r="K35" s="6"/>
      <c r="L35" s="20">
        <f>SUM(L2:L32)</f>
        <v>0</v>
      </c>
      <c r="M35" s="20">
        <f>D35-F35-G35-H35-J35-L35</f>
        <v>-1914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21">
        <f>F35+G35+H35+J35+L35</f>
        <v>234741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4" t="s">
        <v>7</v>
      </c>
      <c r="L1" s="4" t="s">
        <v>9</v>
      </c>
      <c r="M1" s="4" t="s">
        <v>10</v>
      </c>
      <c r="N1" s="6"/>
      <c r="O1" s="6"/>
      <c r="P1" s="6" t="s">
        <v>26</v>
      </c>
      <c r="Q1" s="6"/>
      <c r="R1" s="6"/>
      <c r="S1" s="6"/>
    </row>
    <row r="2">
      <c r="A2" s="8">
        <v>45931.0</v>
      </c>
      <c r="B2" s="9">
        <v>1270.0</v>
      </c>
      <c r="C2" s="9">
        <v>0.0</v>
      </c>
      <c r="D2" s="11">
        <f t="shared" ref="D2:D32" si="1">B2+C2</f>
        <v>1270</v>
      </c>
      <c r="E2" s="3"/>
      <c r="F2" s="9">
        <v>84530.0</v>
      </c>
      <c r="G2" s="9">
        <v>2000.0</v>
      </c>
      <c r="H2" s="10"/>
      <c r="I2" s="13"/>
      <c r="J2" s="10"/>
      <c r="K2" s="13"/>
      <c r="L2" s="10"/>
      <c r="M2" s="10"/>
      <c r="N2" s="6"/>
      <c r="O2" s="6"/>
      <c r="P2" s="6" t="s">
        <v>13</v>
      </c>
      <c r="Q2" s="6" t="s">
        <v>12</v>
      </c>
      <c r="R2" s="6" t="s">
        <v>13</v>
      </c>
      <c r="S2" s="6" t="s">
        <v>14</v>
      </c>
    </row>
    <row r="3">
      <c r="A3" s="8">
        <v>45932.0</v>
      </c>
      <c r="B3" s="9">
        <v>3320.0</v>
      </c>
      <c r="C3" s="9">
        <v>1520.0</v>
      </c>
      <c r="D3" s="11">
        <f t="shared" si="1"/>
        <v>4840</v>
      </c>
      <c r="E3" s="3"/>
      <c r="F3" s="9">
        <v>9889.0</v>
      </c>
      <c r="G3" s="23"/>
      <c r="H3" s="9">
        <v>1838.0</v>
      </c>
      <c r="I3" s="12" t="s">
        <v>15</v>
      </c>
      <c r="J3" s="10"/>
      <c r="K3" s="13"/>
      <c r="L3" s="10"/>
      <c r="M3" s="10"/>
      <c r="N3" s="15" t="s">
        <v>2</v>
      </c>
      <c r="O3" s="6"/>
      <c r="P3" s="7">
        <v>238879.0</v>
      </c>
      <c r="Q3" s="7">
        <v>239022.0</v>
      </c>
      <c r="R3" s="7">
        <v>112293.0</v>
      </c>
      <c r="S3" s="7">
        <v>112436.0</v>
      </c>
    </row>
    <row r="4">
      <c r="A4" s="8">
        <v>45933.0</v>
      </c>
      <c r="B4" s="9">
        <v>6805.0</v>
      </c>
      <c r="C4" s="9">
        <v>350.0</v>
      </c>
      <c r="D4" s="11">
        <f t="shared" si="1"/>
        <v>7155</v>
      </c>
      <c r="E4" s="3"/>
      <c r="F4" s="10"/>
      <c r="G4" s="9">
        <v>69024.0</v>
      </c>
      <c r="H4" s="9">
        <v>14000.0</v>
      </c>
      <c r="I4" s="12" t="s">
        <v>34</v>
      </c>
      <c r="J4" s="9">
        <v>990.0</v>
      </c>
      <c r="K4" s="12" t="s">
        <v>50</v>
      </c>
      <c r="L4" s="10"/>
      <c r="M4" s="10"/>
      <c r="N4" s="16" t="s">
        <v>17</v>
      </c>
      <c r="O4" s="6"/>
      <c r="P4" s="7">
        <v>239046.0</v>
      </c>
      <c r="Q4" s="7">
        <v>239213.0</v>
      </c>
      <c r="R4" s="7">
        <v>112459.0</v>
      </c>
      <c r="S4" s="7">
        <v>112622.0</v>
      </c>
    </row>
    <row r="5">
      <c r="A5" s="8">
        <v>45934.0</v>
      </c>
      <c r="B5" s="9">
        <v>9165.0</v>
      </c>
      <c r="C5" s="9">
        <v>0.0</v>
      </c>
      <c r="D5" s="11">
        <f t="shared" si="1"/>
        <v>9165</v>
      </c>
      <c r="E5" s="3"/>
      <c r="F5" s="10"/>
      <c r="G5" s="10"/>
      <c r="H5" s="9">
        <v>1838.0</v>
      </c>
      <c r="I5" s="12" t="s">
        <v>15</v>
      </c>
      <c r="J5" s="10"/>
      <c r="K5" s="13"/>
      <c r="L5" s="10"/>
      <c r="M5" s="10"/>
      <c r="N5" s="17" t="s">
        <v>19</v>
      </c>
      <c r="O5" s="6"/>
      <c r="P5" s="7">
        <v>239238.0</v>
      </c>
      <c r="Q5" s="7">
        <v>239426.0</v>
      </c>
      <c r="R5" s="7">
        <v>112651.0</v>
      </c>
      <c r="S5" s="7">
        <v>112838.0</v>
      </c>
    </row>
    <row r="6">
      <c r="A6" s="8">
        <v>45935.0</v>
      </c>
      <c r="B6" s="9">
        <v>6415.0</v>
      </c>
      <c r="C6" s="9">
        <v>850.0</v>
      </c>
      <c r="D6" s="11">
        <f t="shared" si="1"/>
        <v>7265</v>
      </c>
      <c r="E6" s="3"/>
      <c r="F6" s="10"/>
      <c r="G6" s="10"/>
      <c r="H6" s="9">
        <v>3000.0</v>
      </c>
      <c r="I6" s="12" t="s">
        <v>52</v>
      </c>
      <c r="J6" s="10"/>
      <c r="K6" s="13"/>
      <c r="L6" s="10"/>
      <c r="M6" s="10"/>
      <c r="N6" s="6"/>
      <c r="O6" s="6"/>
      <c r="P6" s="7">
        <v>239449.0</v>
      </c>
      <c r="Q6" s="7">
        <v>239626.0</v>
      </c>
      <c r="R6" s="7">
        <v>112862.0</v>
      </c>
      <c r="S6" s="7">
        <v>113035.0</v>
      </c>
    </row>
    <row r="7">
      <c r="A7" s="8">
        <v>45936.0</v>
      </c>
      <c r="B7" s="9">
        <v>6990.0</v>
      </c>
      <c r="C7" s="9">
        <v>774.0</v>
      </c>
      <c r="D7" s="11">
        <f t="shared" si="1"/>
        <v>7764</v>
      </c>
      <c r="E7" s="3"/>
      <c r="F7" s="10"/>
      <c r="G7" s="10"/>
      <c r="H7" s="9">
        <v>8400.0</v>
      </c>
      <c r="I7" s="12" t="s">
        <v>46</v>
      </c>
      <c r="J7" s="10"/>
      <c r="K7" s="13"/>
      <c r="L7" s="10"/>
      <c r="M7" s="10"/>
      <c r="N7" s="6"/>
      <c r="O7" s="6"/>
      <c r="P7" s="7">
        <v>239650.0</v>
      </c>
      <c r="Q7" s="7">
        <v>239838.0</v>
      </c>
      <c r="R7" s="7">
        <v>113062.0</v>
      </c>
      <c r="S7" s="7">
        <v>113248.0</v>
      </c>
    </row>
    <row r="8">
      <c r="A8" s="8">
        <v>45937.0</v>
      </c>
      <c r="B8" s="9">
        <v>4910.0</v>
      </c>
      <c r="C8" s="9">
        <v>940.0</v>
      </c>
      <c r="D8" s="11">
        <f t="shared" si="1"/>
        <v>5850</v>
      </c>
      <c r="E8" s="3"/>
      <c r="F8" s="10"/>
      <c r="G8" s="10"/>
      <c r="H8" s="9">
        <v>14000.0</v>
      </c>
      <c r="I8" s="12" t="s">
        <v>53</v>
      </c>
      <c r="J8" s="10"/>
      <c r="K8" s="13"/>
      <c r="L8" s="10"/>
      <c r="M8" s="10"/>
      <c r="N8" s="6"/>
      <c r="O8" s="6"/>
      <c r="P8" s="7">
        <v>239860.0</v>
      </c>
      <c r="Q8" s="7">
        <v>240044.0</v>
      </c>
      <c r="R8" s="7">
        <v>113271.0</v>
      </c>
      <c r="S8" s="7">
        <v>113455.0</v>
      </c>
    </row>
    <row r="9">
      <c r="A9" s="8">
        <v>45938.0</v>
      </c>
      <c r="B9" s="9">
        <v>6270.0</v>
      </c>
      <c r="C9" s="9">
        <v>200.0</v>
      </c>
      <c r="D9" s="11">
        <f t="shared" si="1"/>
        <v>6470</v>
      </c>
      <c r="E9" s="3"/>
      <c r="F9" s="10"/>
      <c r="G9" s="10"/>
      <c r="H9" s="9">
        <v>20000.0</v>
      </c>
      <c r="I9" s="12" t="s">
        <v>21</v>
      </c>
      <c r="J9" s="10"/>
      <c r="K9" s="13"/>
      <c r="L9" s="10"/>
      <c r="M9" s="10"/>
      <c r="N9" s="6"/>
      <c r="O9" s="6"/>
      <c r="P9" s="7">
        <v>240072.0</v>
      </c>
      <c r="Q9" s="7">
        <v>240215.0</v>
      </c>
      <c r="R9" s="7">
        <v>113483.0</v>
      </c>
      <c r="S9" s="7">
        <v>113626.0</v>
      </c>
    </row>
    <row r="10">
      <c r="A10" s="8">
        <v>45939.0</v>
      </c>
      <c r="B10" s="9">
        <v>7860.0</v>
      </c>
      <c r="C10" s="9">
        <v>380.0</v>
      </c>
      <c r="D10" s="11">
        <f t="shared" si="1"/>
        <v>8240</v>
      </c>
      <c r="E10" s="3"/>
      <c r="F10" s="10"/>
      <c r="G10" s="10"/>
      <c r="H10" s="9"/>
      <c r="I10" s="12"/>
      <c r="J10" s="10"/>
      <c r="K10" s="13"/>
      <c r="L10" s="10"/>
      <c r="M10" s="10"/>
      <c r="N10" s="6"/>
      <c r="O10" s="6"/>
      <c r="P10" s="7">
        <v>240252.0</v>
      </c>
      <c r="Q10" s="7">
        <v>240411.0</v>
      </c>
      <c r="R10" s="7">
        <v>113663.0</v>
      </c>
      <c r="S10" s="7">
        <v>113821.0</v>
      </c>
    </row>
    <row r="11">
      <c r="A11" s="8">
        <v>45940.0</v>
      </c>
      <c r="B11" s="9">
        <v>5660.0</v>
      </c>
      <c r="C11" s="9">
        <v>900.0</v>
      </c>
      <c r="D11" s="11">
        <f t="shared" si="1"/>
        <v>6560</v>
      </c>
      <c r="E11" s="3"/>
      <c r="F11" s="10"/>
      <c r="G11" s="10"/>
      <c r="H11" s="10"/>
      <c r="I11" s="13"/>
      <c r="J11" s="10"/>
      <c r="K11" s="13"/>
      <c r="L11" s="10"/>
      <c r="M11" s="10"/>
      <c r="N11" s="6"/>
      <c r="O11" s="6"/>
      <c r="P11" s="7">
        <v>240432.0</v>
      </c>
      <c r="Q11" s="7">
        <v>240615.0</v>
      </c>
      <c r="R11" s="7">
        <v>113843.0</v>
      </c>
      <c r="S11" s="7">
        <v>114025.0</v>
      </c>
    </row>
    <row r="12">
      <c r="A12" s="8">
        <v>45941.0</v>
      </c>
      <c r="B12" s="9">
        <v>6720.0</v>
      </c>
      <c r="C12" s="9">
        <v>950.0</v>
      </c>
      <c r="D12" s="11">
        <f t="shared" si="1"/>
        <v>7670</v>
      </c>
      <c r="E12" s="3"/>
      <c r="F12" s="10"/>
      <c r="G12" s="10"/>
      <c r="H12" s="9">
        <v>7500.0</v>
      </c>
      <c r="I12" s="12" t="s">
        <v>46</v>
      </c>
      <c r="J12" s="10"/>
      <c r="K12" s="13"/>
      <c r="L12" s="10"/>
      <c r="M12" s="10"/>
      <c r="N12" s="6"/>
      <c r="O12" s="6"/>
      <c r="P12" s="7">
        <v>240638.0</v>
      </c>
      <c r="Q12" s="7">
        <v>240824.0</v>
      </c>
      <c r="R12" s="7">
        <v>114048.0</v>
      </c>
      <c r="S12" s="7">
        <v>114233.0</v>
      </c>
    </row>
    <row r="13">
      <c r="A13" s="8">
        <v>45942.0</v>
      </c>
      <c r="B13" s="9">
        <v>7365.0</v>
      </c>
      <c r="C13" s="9">
        <v>980.0</v>
      </c>
      <c r="D13" s="11">
        <f t="shared" si="1"/>
        <v>8345</v>
      </c>
      <c r="E13" s="3"/>
      <c r="F13" s="10"/>
      <c r="G13" s="10"/>
      <c r="H13" s="10"/>
      <c r="I13" s="13"/>
      <c r="J13" s="10"/>
      <c r="K13" s="13"/>
      <c r="L13" s="10"/>
      <c r="M13" s="10"/>
      <c r="N13" s="6"/>
      <c r="O13" s="6"/>
      <c r="P13" s="7">
        <v>240848.0</v>
      </c>
      <c r="Q13" s="6"/>
      <c r="R13" s="7">
        <v>114258.0</v>
      </c>
      <c r="S13" s="6"/>
    </row>
    <row r="14">
      <c r="A14" s="8">
        <v>45943.0</v>
      </c>
      <c r="B14" s="9">
        <v>8710.0</v>
      </c>
      <c r="C14" s="9">
        <v>3290.0</v>
      </c>
      <c r="D14" s="11">
        <f t="shared" si="1"/>
        <v>12000</v>
      </c>
      <c r="E14" s="3"/>
      <c r="F14" s="10"/>
      <c r="G14" s="10"/>
      <c r="H14" s="9">
        <v>1000.0</v>
      </c>
      <c r="I14" s="12" t="s">
        <v>24</v>
      </c>
      <c r="J14" s="10"/>
      <c r="K14" s="13"/>
      <c r="L14" s="10"/>
      <c r="M14" s="10"/>
      <c r="N14" s="6"/>
      <c r="O14" s="6"/>
      <c r="P14" s="6"/>
      <c r="Q14" s="6"/>
      <c r="R14" s="6"/>
      <c r="S14" s="6"/>
    </row>
    <row r="15">
      <c r="A15" s="8">
        <v>45944.0</v>
      </c>
      <c r="B15" s="9">
        <v>9375.0</v>
      </c>
      <c r="C15" s="9">
        <v>0.0</v>
      </c>
      <c r="D15" s="11">
        <f t="shared" si="1"/>
        <v>9375</v>
      </c>
      <c r="E15" s="3"/>
      <c r="F15" s="10"/>
      <c r="G15" s="10"/>
      <c r="H15" s="10"/>
      <c r="I15" s="13"/>
      <c r="J15" s="10"/>
      <c r="K15" s="13"/>
      <c r="L15" s="10"/>
      <c r="M15" s="10"/>
      <c r="N15" s="6"/>
      <c r="O15" s="6"/>
      <c r="P15" s="6"/>
      <c r="Q15" s="6"/>
      <c r="R15" s="6"/>
      <c r="S15" s="6"/>
    </row>
    <row r="16">
      <c r="A16" s="8">
        <v>45945.0</v>
      </c>
      <c r="B16" s="9">
        <v>8470.0</v>
      </c>
      <c r="C16" s="9">
        <v>760.0</v>
      </c>
      <c r="D16" s="11">
        <f t="shared" si="1"/>
        <v>9230</v>
      </c>
      <c r="E16" s="3"/>
      <c r="F16" s="10"/>
      <c r="G16" s="10"/>
      <c r="H16" s="10"/>
      <c r="I16" s="13"/>
      <c r="J16" s="10"/>
      <c r="K16" s="13"/>
      <c r="L16" s="10"/>
      <c r="M16" s="10"/>
      <c r="N16" s="6"/>
      <c r="O16" s="6"/>
      <c r="P16" s="6"/>
      <c r="Q16" s="6"/>
      <c r="R16" s="6"/>
      <c r="S16" s="6"/>
    </row>
    <row r="17">
      <c r="A17" s="8">
        <v>45946.0</v>
      </c>
      <c r="B17" s="9">
        <v>5345.0</v>
      </c>
      <c r="C17" s="9">
        <v>0.0</v>
      </c>
      <c r="D17" s="11">
        <f t="shared" si="1"/>
        <v>5345</v>
      </c>
      <c r="E17" s="3"/>
      <c r="F17" s="10"/>
      <c r="G17" s="10"/>
      <c r="H17" s="10"/>
      <c r="I17" s="13"/>
      <c r="J17" s="10"/>
      <c r="K17" s="13"/>
      <c r="L17" s="10"/>
      <c r="M17" s="10"/>
      <c r="N17" s="6"/>
      <c r="O17" s="6"/>
      <c r="P17" s="6"/>
      <c r="Q17" s="6"/>
      <c r="R17" s="6"/>
      <c r="S17" s="6"/>
    </row>
    <row r="18">
      <c r="A18" s="8">
        <v>45947.0</v>
      </c>
      <c r="B18" s="9">
        <v>5220.0</v>
      </c>
      <c r="C18" s="9">
        <v>660.0</v>
      </c>
      <c r="D18" s="11">
        <f t="shared" si="1"/>
        <v>5880</v>
      </c>
      <c r="E18" s="3"/>
      <c r="F18" s="10"/>
      <c r="G18" s="10"/>
      <c r="H18" s="10"/>
      <c r="I18" s="13"/>
      <c r="J18" s="10"/>
      <c r="K18" s="13"/>
      <c r="L18" s="10"/>
      <c r="M18" s="10"/>
      <c r="N18" s="6"/>
      <c r="O18" s="6"/>
      <c r="P18" s="6"/>
      <c r="Q18" s="6"/>
      <c r="R18" s="6"/>
      <c r="S18" s="6"/>
    </row>
    <row r="19">
      <c r="A19" s="8">
        <v>45948.0</v>
      </c>
      <c r="B19" s="9">
        <v>5265.0</v>
      </c>
      <c r="C19" s="9">
        <v>1040.0</v>
      </c>
      <c r="D19" s="11">
        <f t="shared" si="1"/>
        <v>6305</v>
      </c>
      <c r="E19" s="3"/>
      <c r="F19" s="10"/>
      <c r="G19" s="10"/>
      <c r="H19" s="10"/>
      <c r="I19" s="13"/>
      <c r="J19" s="10"/>
      <c r="K19" s="13"/>
      <c r="L19" s="10"/>
      <c r="M19" s="10"/>
      <c r="N19" s="6"/>
      <c r="O19" s="6"/>
      <c r="P19" s="6"/>
      <c r="Q19" s="6"/>
      <c r="R19" s="6"/>
      <c r="S19" s="6"/>
    </row>
    <row r="20">
      <c r="A20" s="8">
        <v>45949.0</v>
      </c>
      <c r="B20" s="9">
        <v>4800.0</v>
      </c>
      <c r="C20" s="9">
        <v>350.0</v>
      </c>
      <c r="D20" s="11">
        <f t="shared" si="1"/>
        <v>5150</v>
      </c>
      <c r="E20" s="3"/>
      <c r="F20" s="10"/>
      <c r="G20" s="10"/>
      <c r="H20" s="10"/>
      <c r="I20" s="13"/>
      <c r="J20" s="10"/>
      <c r="K20" s="13"/>
      <c r="L20" s="10"/>
      <c r="M20" s="10"/>
      <c r="N20" s="6"/>
      <c r="O20" s="6"/>
      <c r="P20" s="6"/>
      <c r="Q20" s="6"/>
      <c r="R20" s="6"/>
      <c r="S20" s="6"/>
    </row>
    <row r="21">
      <c r="A21" s="8">
        <v>45950.0</v>
      </c>
      <c r="B21" s="9">
        <v>6375.0</v>
      </c>
      <c r="C21" s="9">
        <v>0.0</v>
      </c>
      <c r="D21" s="11">
        <f t="shared" si="1"/>
        <v>6375</v>
      </c>
      <c r="E21" s="3"/>
      <c r="F21" s="10"/>
      <c r="G21" s="10"/>
      <c r="H21" s="10"/>
      <c r="I21" s="13"/>
      <c r="J21" s="10"/>
      <c r="K21" s="13"/>
      <c r="L21" s="10"/>
      <c r="M21" s="10"/>
      <c r="N21" s="6"/>
      <c r="O21" s="6"/>
      <c r="P21" s="6"/>
      <c r="Q21" s="6"/>
      <c r="R21" s="6"/>
      <c r="S21" s="6"/>
    </row>
    <row r="22">
      <c r="A22" s="8">
        <v>45951.0</v>
      </c>
      <c r="B22" s="9">
        <v>8986.0</v>
      </c>
      <c r="C22" s="9">
        <v>580.0</v>
      </c>
      <c r="D22" s="11">
        <f t="shared" si="1"/>
        <v>9566</v>
      </c>
      <c r="E22" s="3"/>
      <c r="F22" s="10"/>
      <c r="G22" s="10"/>
      <c r="H22" s="10"/>
      <c r="I22" s="13"/>
      <c r="J22" s="10"/>
      <c r="K22" s="13"/>
      <c r="L22" s="10"/>
      <c r="M22" s="10"/>
      <c r="N22" s="6"/>
      <c r="O22" s="6"/>
      <c r="P22" s="6"/>
      <c r="Q22" s="6"/>
      <c r="R22" s="6"/>
      <c r="S22" s="6"/>
    </row>
    <row r="23">
      <c r="A23" s="8">
        <v>45952.0</v>
      </c>
      <c r="B23" s="9">
        <v>17836.0</v>
      </c>
      <c r="C23" s="9">
        <v>2250.0</v>
      </c>
      <c r="D23" s="11">
        <f t="shared" si="1"/>
        <v>20086</v>
      </c>
      <c r="E23" s="3"/>
      <c r="F23" s="10"/>
      <c r="G23" s="10"/>
      <c r="H23" s="10"/>
      <c r="I23" s="13"/>
      <c r="J23" s="10"/>
      <c r="K23" s="13"/>
      <c r="L23" s="10"/>
      <c r="M23" s="10"/>
      <c r="N23" s="6"/>
      <c r="O23" s="6"/>
      <c r="P23" s="6"/>
      <c r="Q23" s="6"/>
      <c r="R23" s="6"/>
      <c r="S23" s="6"/>
    </row>
    <row r="24">
      <c r="A24" s="8">
        <v>45953.0</v>
      </c>
      <c r="B24" s="9">
        <v>5631.0</v>
      </c>
      <c r="C24" s="9">
        <v>1260.0</v>
      </c>
      <c r="D24" s="11">
        <f t="shared" si="1"/>
        <v>6891</v>
      </c>
      <c r="E24" s="3"/>
      <c r="F24" s="10"/>
      <c r="G24" s="10"/>
      <c r="H24" s="10"/>
      <c r="I24" s="13"/>
      <c r="J24" s="10"/>
      <c r="K24" s="13"/>
      <c r="L24" s="10"/>
      <c r="M24" s="10"/>
      <c r="N24" s="6"/>
      <c r="O24" s="6"/>
      <c r="P24" s="6"/>
      <c r="Q24" s="6"/>
      <c r="R24" s="6"/>
      <c r="S24" s="6"/>
    </row>
    <row r="25">
      <c r="A25" s="8">
        <v>45954.0</v>
      </c>
      <c r="B25" s="9">
        <v>6150.0</v>
      </c>
      <c r="C25" s="9">
        <v>0.0</v>
      </c>
      <c r="D25" s="11">
        <f t="shared" si="1"/>
        <v>6150</v>
      </c>
      <c r="E25" s="3"/>
      <c r="F25" s="10"/>
      <c r="G25" s="10"/>
      <c r="H25" s="10"/>
      <c r="I25" s="13"/>
      <c r="J25" s="10"/>
      <c r="K25" s="13"/>
      <c r="L25" s="10"/>
      <c r="M25" s="10"/>
      <c r="N25" s="6"/>
      <c r="O25" s="6"/>
      <c r="P25" s="6"/>
      <c r="Q25" s="6"/>
      <c r="R25" s="6"/>
      <c r="S25" s="6"/>
    </row>
    <row r="26">
      <c r="A26" s="8">
        <v>45955.0</v>
      </c>
      <c r="B26" s="9">
        <v>7250.0</v>
      </c>
      <c r="C26" s="9">
        <v>660.0</v>
      </c>
      <c r="D26" s="11">
        <f t="shared" si="1"/>
        <v>7910</v>
      </c>
      <c r="E26" s="3"/>
      <c r="F26" s="10"/>
      <c r="G26" s="10"/>
      <c r="H26" s="10"/>
      <c r="I26" s="13"/>
      <c r="J26" s="10"/>
      <c r="K26" s="13"/>
      <c r="L26" s="10"/>
      <c r="M26" s="10"/>
      <c r="N26" s="6"/>
      <c r="O26" s="6"/>
      <c r="P26" s="6"/>
      <c r="Q26" s="6"/>
      <c r="R26" s="6"/>
      <c r="S26" s="6"/>
    </row>
    <row r="27">
      <c r="A27" s="8">
        <v>45956.0</v>
      </c>
      <c r="B27" s="9">
        <v>4050.0</v>
      </c>
      <c r="C27" s="9">
        <v>580.0</v>
      </c>
      <c r="D27" s="11">
        <f t="shared" si="1"/>
        <v>4630</v>
      </c>
      <c r="E27" s="3"/>
      <c r="F27" s="10"/>
      <c r="G27" s="10"/>
      <c r="H27" s="10"/>
      <c r="I27" s="13"/>
      <c r="J27" s="10"/>
      <c r="K27" s="13"/>
      <c r="L27" s="10"/>
      <c r="M27" s="10"/>
      <c r="N27" s="6"/>
      <c r="O27" s="6"/>
      <c r="P27" s="6"/>
      <c r="Q27" s="6"/>
      <c r="R27" s="6"/>
      <c r="S27" s="6"/>
    </row>
    <row r="28">
      <c r="A28" s="8">
        <v>45957.0</v>
      </c>
      <c r="B28" s="9">
        <v>8530.0</v>
      </c>
      <c r="C28" s="9">
        <v>470.0</v>
      </c>
      <c r="D28" s="11">
        <f t="shared" si="1"/>
        <v>9000</v>
      </c>
      <c r="E28" s="3"/>
      <c r="F28" s="10"/>
      <c r="G28" s="10"/>
      <c r="H28" s="10"/>
      <c r="I28" s="13"/>
      <c r="J28" s="10"/>
      <c r="K28" s="13"/>
      <c r="L28" s="10"/>
      <c r="M28" s="10"/>
      <c r="N28" s="6"/>
      <c r="O28" s="6"/>
      <c r="P28" s="6"/>
      <c r="Q28" s="6"/>
      <c r="R28" s="6"/>
      <c r="S28" s="6"/>
    </row>
    <row r="29">
      <c r="A29" s="8">
        <v>45958.0</v>
      </c>
      <c r="B29" s="10"/>
      <c r="C29" s="10"/>
      <c r="D29" s="11">
        <f t="shared" si="1"/>
        <v>0</v>
      </c>
      <c r="E29" s="3"/>
      <c r="F29" s="10"/>
      <c r="G29" s="10"/>
      <c r="H29" s="10"/>
      <c r="I29" s="13"/>
      <c r="J29" s="10"/>
      <c r="K29" s="13"/>
      <c r="L29" s="10"/>
      <c r="M29" s="10"/>
      <c r="N29" s="6"/>
      <c r="O29" s="6"/>
      <c r="P29" s="6"/>
      <c r="Q29" s="6"/>
      <c r="R29" s="6"/>
      <c r="S29" s="6"/>
    </row>
    <row r="30">
      <c r="A30" s="8">
        <v>45959.0</v>
      </c>
      <c r="B30" s="9">
        <v>0.0</v>
      </c>
      <c r="C30" s="10"/>
      <c r="D30" s="11">
        <f t="shared" si="1"/>
        <v>0</v>
      </c>
      <c r="E30" s="3"/>
      <c r="F30" s="10"/>
      <c r="G30" s="10"/>
      <c r="H30" s="10"/>
      <c r="I30" s="13"/>
      <c r="J30" s="10"/>
      <c r="K30" s="13"/>
      <c r="L30" s="10"/>
      <c r="M30" s="10"/>
      <c r="N30" s="6"/>
      <c r="O30" s="6"/>
      <c r="P30" s="6"/>
      <c r="Q30" s="6"/>
      <c r="R30" s="6"/>
      <c r="S30" s="6"/>
    </row>
    <row r="31">
      <c r="A31" s="8">
        <v>45960.0</v>
      </c>
      <c r="B31" s="9">
        <v>0.0</v>
      </c>
      <c r="C31" s="10"/>
      <c r="D31" s="11">
        <f t="shared" si="1"/>
        <v>0</v>
      </c>
      <c r="E31" s="3"/>
      <c r="F31" s="10"/>
      <c r="G31" s="10"/>
      <c r="H31" s="10"/>
      <c r="I31" s="13"/>
      <c r="J31" s="10"/>
      <c r="K31" s="13"/>
      <c r="L31" s="10"/>
      <c r="M31" s="10"/>
      <c r="N31" s="6"/>
      <c r="O31" s="6"/>
      <c r="P31" s="6"/>
      <c r="Q31" s="6"/>
      <c r="R31" s="6"/>
      <c r="S31" s="6"/>
    </row>
    <row r="32">
      <c r="A32" s="8">
        <v>45961.0</v>
      </c>
      <c r="B32" s="9">
        <v>0.0</v>
      </c>
      <c r="C32" s="10"/>
      <c r="D32" s="11">
        <f t="shared" si="1"/>
        <v>0</v>
      </c>
      <c r="E32" s="3"/>
      <c r="F32" s="10"/>
      <c r="G32" s="10"/>
      <c r="H32" s="10"/>
      <c r="I32" s="13"/>
      <c r="J32" s="10"/>
      <c r="K32" s="13"/>
      <c r="L32" s="10"/>
      <c r="M32" s="10"/>
      <c r="N32" s="6"/>
      <c r="O32" s="6"/>
      <c r="P32" s="6"/>
      <c r="Q32" s="6"/>
      <c r="R32" s="6"/>
      <c r="S32" s="6"/>
    </row>
    <row r="33">
      <c r="A33" s="18"/>
      <c r="B33" s="10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>
      <c r="A34" s="6"/>
      <c r="B34" s="6"/>
      <c r="C34" s="6"/>
      <c r="D34" s="6"/>
      <c r="E34" s="6"/>
      <c r="F34" s="19">
        <f>F35*100/D35</f>
        <v>46.17359539</v>
      </c>
      <c r="G34" s="19">
        <f>G35*100/D35</f>
        <v>34.7327703</v>
      </c>
      <c r="H34" s="19">
        <f>H35*100/D35</f>
        <v>35.00271411</v>
      </c>
      <c r="I34" s="6"/>
      <c r="J34" s="19">
        <f>J35*100/D35</f>
        <v>0.484138356</v>
      </c>
      <c r="K34" s="6"/>
      <c r="L34" s="19">
        <f>L35*100/J35</f>
        <v>0</v>
      </c>
      <c r="M34" s="19">
        <f>M35*100/D35</f>
        <v>-16.39321815</v>
      </c>
      <c r="N34" s="6"/>
      <c r="O34" s="6"/>
      <c r="P34" s="6"/>
      <c r="Q34" s="6"/>
      <c r="R34" s="6"/>
      <c r="S34" s="6"/>
    </row>
    <row r="35">
      <c r="A35" s="6"/>
      <c r="B35" s="20">
        <f t="shared" ref="B35:D35" si="2">SUM(B2:B32)</f>
        <v>184743</v>
      </c>
      <c r="C35" s="20">
        <f t="shared" si="2"/>
        <v>19744</v>
      </c>
      <c r="D35" s="20">
        <f t="shared" si="2"/>
        <v>204487</v>
      </c>
      <c r="E35" s="6"/>
      <c r="F35" s="20">
        <f t="shared" ref="F35:G35" si="3">SUM(F2:F32)</f>
        <v>94419</v>
      </c>
      <c r="G35" s="20">
        <f t="shared" si="3"/>
        <v>71024</v>
      </c>
      <c r="H35" s="20">
        <f>SUM(H3:H32)</f>
        <v>71576</v>
      </c>
      <c r="I35" s="6"/>
      <c r="J35" s="20">
        <f>SUM(J2:J32)</f>
        <v>990</v>
      </c>
      <c r="K35" s="6"/>
      <c r="L35" s="20">
        <f>SUM(L2:L32)</f>
        <v>0</v>
      </c>
      <c r="M35" s="20">
        <f>D35-F35-G35-H35-J35-L35</f>
        <v>-33522</v>
      </c>
      <c r="N35" s="6"/>
      <c r="O35" s="6"/>
      <c r="P35" s="6"/>
      <c r="Q35" s="6"/>
      <c r="R35" s="6"/>
      <c r="S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21">
        <f>F35+G35+H35+J35+L35</f>
        <v>238009</v>
      </c>
      <c r="M37" s="6"/>
      <c r="N37" s="6"/>
      <c r="O37" s="6"/>
      <c r="P37" s="6"/>
      <c r="Q37" s="6"/>
      <c r="R37" s="6"/>
      <c r="S37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4" t="s">
        <v>7</v>
      </c>
      <c r="L1" s="4" t="s">
        <v>9</v>
      </c>
      <c r="M1" s="4" t="s">
        <v>10</v>
      </c>
      <c r="N1" s="6"/>
      <c r="O1" s="6"/>
      <c r="P1" s="6" t="s">
        <v>26</v>
      </c>
      <c r="Q1" s="6"/>
      <c r="R1" s="6"/>
      <c r="S1" s="6"/>
    </row>
    <row r="2">
      <c r="A2" s="8">
        <v>45931.0</v>
      </c>
      <c r="B2" s="9">
        <v>4610.0</v>
      </c>
      <c r="C2" s="9">
        <v>300.0</v>
      </c>
      <c r="D2" s="11">
        <f t="shared" ref="D2:D32" si="1">B2+C2</f>
        <v>4910</v>
      </c>
      <c r="E2" s="3"/>
      <c r="F2" s="10"/>
      <c r="G2" s="10"/>
      <c r="H2" s="10"/>
      <c r="I2" s="13"/>
      <c r="J2" s="10"/>
      <c r="K2" s="13"/>
      <c r="L2" s="10"/>
      <c r="M2" s="10"/>
      <c r="N2" s="6"/>
      <c r="O2" s="6"/>
      <c r="P2" s="6" t="s">
        <v>13</v>
      </c>
      <c r="Q2" s="6" t="s">
        <v>12</v>
      </c>
      <c r="R2" s="6" t="s">
        <v>13</v>
      </c>
      <c r="S2" s="6" t="s">
        <v>14</v>
      </c>
    </row>
    <row r="3">
      <c r="A3" s="8">
        <v>45932.0</v>
      </c>
      <c r="B3" s="9">
        <v>2810.0</v>
      </c>
      <c r="C3" s="9">
        <v>860.0</v>
      </c>
      <c r="D3" s="11">
        <f t="shared" si="1"/>
        <v>3670</v>
      </c>
      <c r="E3" s="3"/>
      <c r="F3" s="9">
        <v>84530.0</v>
      </c>
      <c r="G3" s="14">
        <v>2000.0</v>
      </c>
      <c r="H3" s="9">
        <v>11976.0</v>
      </c>
      <c r="I3" s="12" t="s">
        <v>18</v>
      </c>
      <c r="J3" s="9">
        <v>1190.0</v>
      </c>
      <c r="K3" s="12" t="s">
        <v>54</v>
      </c>
      <c r="L3" s="10"/>
      <c r="M3" s="10"/>
      <c r="N3" s="15" t="s">
        <v>2</v>
      </c>
      <c r="O3" s="6"/>
      <c r="P3" s="7">
        <v>243973.0</v>
      </c>
      <c r="Q3" s="7">
        <v>117376.0</v>
      </c>
      <c r="R3" s="7">
        <v>244093.0</v>
      </c>
      <c r="S3" s="7">
        <v>117496.0</v>
      </c>
    </row>
    <row r="4">
      <c r="A4" s="8">
        <v>45933.0</v>
      </c>
      <c r="B4" s="9">
        <v>5720.0</v>
      </c>
      <c r="C4" s="9">
        <v>220.0</v>
      </c>
      <c r="D4" s="11">
        <f t="shared" si="1"/>
        <v>5940</v>
      </c>
      <c r="E4" s="3"/>
      <c r="F4" s="9">
        <v>9889.0</v>
      </c>
      <c r="G4" s="10"/>
      <c r="H4" s="9"/>
      <c r="I4" s="12"/>
      <c r="J4" s="10"/>
      <c r="K4" s="13"/>
      <c r="L4" s="10"/>
      <c r="M4" s="10"/>
      <c r="N4" s="16" t="s">
        <v>17</v>
      </c>
      <c r="O4" s="6"/>
      <c r="P4" s="7">
        <v>244116.0</v>
      </c>
      <c r="Q4" s="7">
        <v>244271.0</v>
      </c>
      <c r="R4" s="7">
        <v>117519.0</v>
      </c>
      <c r="S4" s="7">
        <v>117673.0</v>
      </c>
    </row>
    <row r="5">
      <c r="A5" s="8">
        <v>45934.0</v>
      </c>
      <c r="B5" s="9">
        <v>6301.0</v>
      </c>
      <c r="C5" s="9">
        <v>0.0</v>
      </c>
      <c r="D5" s="11">
        <f t="shared" si="1"/>
        <v>6301</v>
      </c>
      <c r="E5" s="3"/>
      <c r="F5" s="10"/>
      <c r="G5" s="9">
        <v>80647.0</v>
      </c>
      <c r="H5" s="9"/>
      <c r="I5" s="12"/>
      <c r="J5" s="10"/>
      <c r="K5" s="13"/>
      <c r="L5" s="10"/>
      <c r="M5" s="10"/>
      <c r="N5" s="17" t="s">
        <v>19</v>
      </c>
      <c r="O5" s="6"/>
      <c r="P5" s="7">
        <v>244295.0</v>
      </c>
      <c r="Q5" s="7">
        <v>244457.0</v>
      </c>
      <c r="R5" s="7">
        <v>117697.0</v>
      </c>
      <c r="S5" s="7">
        <v>117859.0</v>
      </c>
    </row>
    <row r="6">
      <c r="A6" s="8">
        <v>45935.0</v>
      </c>
      <c r="B6" s="9">
        <v>9751.0</v>
      </c>
      <c r="C6" s="9">
        <v>880.0</v>
      </c>
      <c r="D6" s="11">
        <f t="shared" si="1"/>
        <v>10631</v>
      </c>
      <c r="E6" s="3"/>
      <c r="F6" s="10"/>
      <c r="G6" s="10"/>
      <c r="H6" s="9">
        <v>2588.0</v>
      </c>
      <c r="I6" s="12" t="s">
        <v>15</v>
      </c>
      <c r="J6" s="10"/>
      <c r="K6" s="13"/>
      <c r="L6" s="10"/>
      <c r="M6" s="10"/>
      <c r="N6" s="6"/>
      <c r="O6" s="6"/>
      <c r="P6" s="7">
        <v>244480.0</v>
      </c>
      <c r="Q6" s="7">
        <v>244642.0</v>
      </c>
      <c r="R6" s="7">
        <v>117882.0</v>
      </c>
      <c r="S6" s="7">
        <v>118043.0</v>
      </c>
    </row>
    <row r="7">
      <c r="A7" s="8">
        <v>45936.0</v>
      </c>
      <c r="B7" s="9">
        <v>10806.0</v>
      </c>
      <c r="C7" s="9">
        <v>1130.0</v>
      </c>
      <c r="D7" s="11">
        <f t="shared" si="1"/>
        <v>11936</v>
      </c>
      <c r="E7" s="3"/>
      <c r="F7" s="10"/>
      <c r="G7" s="10"/>
      <c r="H7" s="9">
        <v>22500.0</v>
      </c>
      <c r="I7" s="12" t="s">
        <v>55</v>
      </c>
      <c r="J7" s="10"/>
      <c r="K7" s="13"/>
      <c r="L7" s="10"/>
      <c r="M7" s="10"/>
      <c r="N7" s="6"/>
      <c r="O7" s="6"/>
      <c r="P7" s="7">
        <v>244666.0</v>
      </c>
      <c r="Q7" s="7">
        <v>244842.0</v>
      </c>
      <c r="R7" s="7">
        <v>118068.0</v>
      </c>
      <c r="S7" s="7">
        <v>118243.0</v>
      </c>
    </row>
    <row r="8">
      <c r="A8" s="8">
        <v>45937.0</v>
      </c>
      <c r="B8" s="9">
        <v>8480.0</v>
      </c>
      <c r="C8" s="9">
        <v>1131.0</v>
      </c>
      <c r="D8" s="11">
        <f t="shared" si="1"/>
        <v>9611</v>
      </c>
      <c r="E8" s="3"/>
      <c r="F8" s="10"/>
      <c r="G8" s="10"/>
      <c r="H8" s="9">
        <v>4000.0</v>
      </c>
      <c r="I8" s="12" t="s">
        <v>32</v>
      </c>
      <c r="J8" s="10"/>
      <c r="K8" s="13"/>
      <c r="L8" s="10"/>
      <c r="M8" s="10"/>
      <c r="N8" s="6"/>
      <c r="O8" s="6"/>
      <c r="P8" s="7">
        <v>244868.0</v>
      </c>
      <c r="Q8" s="7">
        <v>245039.0</v>
      </c>
      <c r="R8" s="7">
        <v>118269.0</v>
      </c>
      <c r="S8" s="7">
        <v>118440.0</v>
      </c>
    </row>
    <row r="9">
      <c r="A9" s="8">
        <v>45938.0</v>
      </c>
      <c r="B9" s="9">
        <v>7657.0</v>
      </c>
      <c r="C9" s="9">
        <v>1480.0</v>
      </c>
      <c r="D9" s="11">
        <f t="shared" si="1"/>
        <v>9137</v>
      </c>
      <c r="E9" s="3"/>
      <c r="F9" s="10"/>
      <c r="G9" s="10"/>
      <c r="H9" s="9">
        <v>12000.0</v>
      </c>
      <c r="I9" s="12" t="s">
        <v>56</v>
      </c>
      <c r="J9" s="10"/>
      <c r="K9" s="13"/>
      <c r="L9" s="10"/>
      <c r="M9" s="10"/>
      <c r="N9" s="6"/>
      <c r="O9" s="6"/>
      <c r="P9" s="7">
        <v>245082.0</v>
      </c>
      <c r="Q9" s="7">
        <v>245204.0</v>
      </c>
      <c r="R9" s="7">
        <v>118483.0</v>
      </c>
      <c r="S9" s="7">
        <v>118604.0</v>
      </c>
    </row>
    <row r="10">
      <c r="A10" s="8">
        <v>45939.0</v>
      </c>
      <c r="B10" s="9">
        <v>3680.0</v>
      </c>
      <c r="C10" s="9">
        <v>920.0</v>
      </c>
      <c r="D10" s="11">
        <f t="shared" si="1"/>
        <v>4600</v>
      </c>
      <c r="E10" s="3"/>
      <c r="F10" s="10"/>
      <c r="G10" s="10"/>
      <c r="H10" s="9"/>
      <c r="I10" s="12"/>
      <c r="J10" s="10"/>
      <c r="K10" s="13"/>
      <c r="L10" s="10"/>
      <c r="M10" s="10"/>
      <c r="N10" s="6"/>
      <c r="O10" s="6"/>
      <c r="P10" s="7">
        <v>245230.0</v>
      </c>
      <c r="Q10" s="7">
        <v>245387.0</v>
      </c>
      <c r="R10" s="7">
        <v>118630.0</v>
      </c>
      <c r="S10" s="7">
        <v>118787.0</v>
      </c>
    </row>
    <row r="11">
      <c r="A11" s="8">
        <v>45940.0</v>
      </c>
      <c r="B11" s="9">
        <v>14510.0</v>
      </c>
      <c r="C11" s="9">
        <v>1410.0</v>
      </c>
      <c r="D11" s="11">
        <f t="shared" si="1"/>
        <v>15920</v>
      </c>
      <c r="E11" s="3"/>
      <c r="F11" s="10"/>
      <c r="G11" s="10"/>
      <c r="H11" s="9">
        <v>9500.0</v>
      </c>
      <c r="I11" s="12" t="s">
        <v>34</v>
      </c>
      <c r="J11" s="10"/>
      <c r="K11" s="13"/>
      <c r="L11" s="10"/>
      <c r="M11" s="10"/>
      <c r="N11" s="6"/>
      <c r="O11" s="6"/>
      <c r="P11" s="7">
        <v>245431.0</v>
      </c>
      <c r="Q11" s="7">
        <v>245558.0</v>
      </c>
      <c r="R11" s="7">
        <v>118831.0</v>
      </c>
      <c r="S11" s="7">
        <v>118958.0</v>
      </c>
    </row>
    <row r="12">
      <c r="A12" s="8">
        <v>45941.0</v>
      </c>
      <c r="B12" s="9">
        <v>13791.0</v>
      </c>
      <c r="C12" s="9">
        <v>2860.0</v>
      </c>
      <c r="D12" s="11">
        <f t="shared" si="1"/>
        <v>16651</v>
      </c>
      <c r="E12" s="3"/>
      <c r="F12" s="10"/>
      <c r="G12" s="10"/>
      <c r="H12" s="10"/>
      <c r="I12" s="13"/>
      <c r="J12" s="10"/>
      <c r="K12" s="13"/>
      <c r="L12" s="10"/>
      <c r="M12" s="10"/>
      <c r="N12" s="6"/>
      <c r="O12" s="6"/>
      <c r="P12" s="7">
        <v>245582.0</v>
      </c>
      <c r="Q12" s="7">
        <v>245748.0</v>
      </c>
      <c r="R12" s="7">
        <v>118981.0</v>
      </c>
      <c r="S12" s="7">
        <v>119148.0</v>
      </c>
    </row>
    <row r="13">
      <c r="A13" s="8">
        <v>45942.0</v>
      </c>
      <c r="B13" s="9">
        <v>9850.0</v>
      </c>
      <c r="C13" s="9">
        <v>220.0</v>
      </c>
      <c r="D13" s="11">
        <f t="shared" si="1"/>
        <v>10070</v>
      </c>
      <c r="E13" s="3"/>
      <c r="F13" s="10"/>
      <c r="G13" s="10"/>
      <c r="H13" s="10"/>
      <c r="I13" s="13"/>
      <c r="J13" s="10"/>
      <c r="K13" s="13"/>
      <c r="L13" s="10"/>
      <c r="M13" s="10"/>
      <c r="N13" s="6"/>
      <c r="O13" s="6"/>
      <c r="P13" s="7">
        <v>245771.0</v>
      </c>
      <c r="Q13" s="7">
        <v>245946.0</v>
      </c>
      <c r="R13" s="7">
        <v>119171.0</v>
      </c>
      <c r="S13" s="7">
        <v>119345.0</v>
      </c>
    </row>
    <row r="14">
      <c r="A14" s="8">
        <v>45943.0</v>
      </c>
      <c r="B14" s="9">
        <v>11400.0</v>
      </c>
      <c r="C14" s="9">
        <v>910.0</v>
      </c>
      <c r="D14" s="11">
        <f t="shared" si="1"/>
        <v>12310</v>
      </c>
      <c r="E14" s="3"/>
      <c r="F14" s="10"/>
      <c r="G14" s="10"/>
      <c r="H14" s="10"/>
      <c r="I14" s="13"/>
      <c r="J14" s="10"/>
      <c r="K14" s="13"/>
      <c r="L14" s="10"/>
      <c r="M14" s="10"/>
      <c r="N14" s="6"/>
      <c r="O14" s="6"/>
      <c r="P14" s="7">
        <v>245970.0</v>
      </c>
      <c r="Q14" s="7">
        <v>246142.0</v>
      </c>
      <c r="R14" s="7">
        <v>119369.0</v>
      </c>
      <c r="S14" s="7">
        <v>119540.0</v>
      </c>
    </row>
    <row r="15">
      <c r="A15" s="8">
        <v>45944.0</v>
      </c>
      <c r="B15" s="9">
        <v>12040.0</v>
      </c>
      <c r="C15" s="9">
        <v>12440.0</v>
      </c>
      <c r="D15" s="11">
        <f t="shared" si="1"/>
        <v>24480</v>
      </c>
      <c r="E15" s="3"/>
      <c r="F15" s="10"/>
      <c r="G15" s="10"/>
      <c r="H15" s="10"/>
      <c r="I15" s="13"/>
      <c r="J15" s="10"/>
      <c r="K15" s="13"/>
      <c r="L15" s="10"/>
      <c r="M15" s="10"/>
      <c r="N15" s="6"/>
      <c r="O15" s="6"/>
      <c r="P15" s="7">
        <v>247313.0</v>
      </c>
      <c r="Q15" s="7">
        <v>247486.0</v>
      </c>
      <c r="R15" s="7">
        <v>120709.0</v>
      </c>
      <c r="S15" s="7">
        <v>120881.0</v>
      </c>
    </row>
    <row r="16">
      <c r="A16" s="8">
        <v>45945.0</v>
      </c>
      <c r="B16" s="9">
        <v>6330.0</v>
      </c>
      <c r="C16" s="9">
        <v>1540.0</v>
      </c>
      <c r="D16" s="11">
        <f t="shared" si="1"/>
        <v>7870</v>
      </c>
      <c r="E16" s="3"/>
      <c r="F16" s="10"/>
      <c r="G16" s="10"/>
      <c r="H16" s="10"/>
      <c r="I16" s="13"/>
      <c r="J16" s="10"/>
      <c r="K16" s="13"/>
      <c r="L16" s="10"/>
      <c r="M16" s="10"/>
      <c r="N16" s="6"/>
      <c r="O16" s="6"/>
      <c r="P16" s="7">
        <v>247515.0</v>
      </c>
      <c r="Q16" s="7">
        <v>2247701.0</v>
      </c>
      <c r="R16" s="7">
        <v>120910.0</v>
      </c>
      <c r="S16" s="7">
        <v>121095.0</v>
      </c>
    </row>
    <row r="17">
      <c r="A17" s="8">
        <v>45946.0</v>
      </c>
      <c r="B17" s="9">
        <v>7040.0</v>
      </c>
      <c r="C17" s="9">
        <v>2130.0</v>
      </c>
      <c r="D17" s="11">
        <f t="shared" si="1"/>
        <v>9170</v>
      </c>
      <c r="E17" s="3"/>
      <c r="F17" s="10"/>
      <c r="G17" s="10"/>
      <c r="H17" s="10"/>
      <c r="I17" s="13"/>
      <c r="J17" s="10"/>
      <c r="K17" s="13"/>
      <c r="L17" s="10"/>
      <c r="M17" s="10"/>
      <c r="N17" s="6"/>
      <c r="O17" s="6"/>
      <c r="P17" s="7">
        <v>247730.0</v>
      </c>
      <c r="Q17" s="7">
        <v>247872.0</v>
      </c>
      <c r="R17" s="7">
        <v>121125.0</v>
      </c>
      <c r="S17" s="7">
        <v>121266.0</v>
      </c>
    </row>
    <row r="18">
      <c r="A18" s="8">
        <v>45947.0</v>
      </c>
      <c r="B18" s="9">
        <v>4570.0</v>
      </c>
      <c r="C18" s="9">
        <v>540.0</v>
      </c>
      <c r="D18" s="11">
        <f t="shared" si="1"/>
        <v>5110</v>
      </c>
      <c r="E18" s="3"/>
      <c r="F18" s="10"/>
      <c r="G18" s="10"/>
      <c r="H18" s="10"/>
      <c r="I18" s="13"/>
      <c r="J18" s="10"/>
      <c r="K18" s="13"/>
      <c r="L18" s="10"/>
      <c r="M18" s="10"/>
      <c r="N18" s="6"/>
      <c r="O18" s="6"/>
      <c r="P18" s="6"/>
      <c r="Q18" s="7">
        <v>248055.0</v>
      </c>
      <c r="R18" s="6"/>
      <c r="S18" s="7">
        <v>121449.0</v>
      </c>
    </row>
    <row r="19">
      <c r="A19" s="8">
        <v>45948.0</v>
      </c>
      <c r="B19" s="9">
        <v>6350.0</v>
      </c>
      <c r="C19" s="9">
        <v>2050.0</v>
      </c>
      <c r="D19" s="11">
        <f t="shared" si="1"/>
        <v>8400</v>
      </c>
      <c r="E19" s="3"/>
      <c r="F19" s="10"/>
      <c r="G19" s="10"/>
      <c r="H19" s="10"/>
      <c r="I19" s="13"/>
      <c r="J19" s="10"/>
      <c r="K19" s="13"/>
      <c r="L19" s="10"/>
      <c r="M19" s="10"/>
      <c r="N19" s="6"/>
      <c r="O19" s="6"/>
      <c r="P19" s="6"/>
      <c r="Q19" s="6"/>
      <c r="R19" s="6"/>
      <c r="S19" s="6"/>
    </row>
    <row r="20">
      <c r="A20" s="8">
        <v>45949.0</v>
      </c>
      <c r="B20" s="9">
        <v>9930.0</v>
      </c>
      <c r="C20" s="9">
        <v>1680.0</v>
      </c>
      <c r="D20" s="11">
        <f t="shared" si="1"/>
        <v>11610</v>
      </c>
      <c r="E20" s="3"/>
      <c r="F20" s="10"/>
      <c r="G20" s="10"/>
      <c r="H20" s="10"/>
      <c r="I20" s="13"/>
      <c r="J20" s="10"/>
      <c r="K20" s="13"/>
      <c r="L20" s="10"/>
      <c r="M20" s="10"/>
      <c r="N20" s="6"/>
      <c r="O20" s="6"/>
      <c r="P20" s="6"/>
      <c r="Q20" s="6"/>
      <c r="R20" s="6"/>
      <c r="S20" s="6"/>
    </row>
    <row r="21">
      <c r="A21" s="8">
        <v>45950.0</v>
      </c>
      <c r="B21" s="9">
        <v>12850.0</v>
      </c>
      <c r="C21" s="9">
        <v>270.0</v>
      </c>
      <c r="D21" s="11">
        <f t="shared" si="1"/>
        <v>13120</v>
      </c>
      <c r="E21" s="3"/>
      <c r="F21" s="10"/>
      <c r="G21" s="10"/>
      <c r="H21" s="10"/>
      <c r="I21" s="13"/>
      <c r="J21" s="10"/>
      <c r="K21" s="13"/>
      <c r="L21" s="10"/>
      <c r="M21" s="10"/>
      <c r="N21" s="6"/>
      <c r="O21" s="6"/>
      <c r="P21" s="6"/>
      <c r="Q21" s="6"/>
      <c r="R21" s="6"/>
      <c r="S21" s="6"/>
    </row>
    <row r="22">
      <c r="A22" s="8">
        <v>45951.0</v>
      </c>
      <c r="B22" s="9">
        <v>4670.0</v>
      </c>
      <c r="C22" s="9">
        <v>1450.0</v>
      </c>
      <c r="D22" s="11">
        <f t="shared" si="1"/>
        <v>6120</v>
      </c>
      <c r="E22" s="3"/>
      <c r="F22" s="10"/>
      <c r="G22" s="10"/>
      <c r="H22" s="10"/>
      <c r="I22" s="13"/>
      <c r="J22" s="10"/>
      <c r="K22" s="13"/>
      <c r="L22" s="10"/>
      <c r="M22" s="10"/>
      <c r="N22" s="6"/>
      <c r="O22" s="6"/>
      <c r="P22" s="6"/>
      <c r="Q22" s="6"/>
      <c r="R22" s="6"/>
      <c r="S22" s="6"/>
    </row>
    <row r="23">
      <c r="A23" s="8">
        <v>45952.0</v>
      </c>
      <c r="B23" s="9">
        <v>10195.0</v>
      </c>
      <c r="C23" s="9">
        <v>1790.0</v>
      </c>
      <c r="D23" s="11">
        <f t="shared" si="1"/>
        <v>11985</v>
      </c>
      <c r="E23" s="3"/>
      <c r="F23" s="10"/>
      <c r="G23" s="10"/>
      <c r="H23" s="10"/>
      <c r="I23" s="13"/>
      <c r="J23" s="10"/>
      <c r="K23" s="13"/>
      <c r="L23" s="10"/>
      <c r="M23" s="10"/>
      <c r="N23" s="6"/>
      <c r="O23" s="6"/>
      <c r="P23" s="6"/>
      <c r="Q23" s="6"/>
      <c r="R23" s="6"/>
      <c r="S23" s="6"/>
    </row>
    <row r="24">
      <c r="A24" s="8">
        <v>45953.0</v>
      </c>
      <c r="B24" s="9">
        <v>5577.0</v>
      </c>
      <c r="C24" s="9">
        <v>0.0</v>
      </c>
      <c r="D24" s="11">
        <f t="shared" si="1"/>
        <v>5577</v>
      </c>
      <c r="E24" s="3"/>
      <c r="F24" s="10"/>
      <c r="G24" s="10"/>
      <c r="H24" s="10"/>
      <c r="I24" s="13"/>
      <c r="J24" s="10"/>
      <c r="K24" s="13"/>
      <c r="L24" s="10"/>
      <c r="M24" s="10"/>
      <c r="N24" s="6"/>
      <c r="O24" s="6"/>
      <c r="P24" s="6"/>
      <c r="Q24" s="6"/>
      <c r="R24" s="6"/>
      <c r="S24" s="6"/>
    </row>
    <row r="25">
      <c r="A25" s="8">
        <v>45954.0</v>
      </c>
      <c r="B25" s="9">
        <v>7670.0</v>
      </c>
      <c r="C25" s="9">
        <v>1810.0</v>
      </c>
      <c r="D25" s="11">
        <f t="shared" si="1"/>
        <v>9480</v>
      </c>
      <c r="E25" s="3"/>
      <c r="F25" s="10"/>
      <c r="G25" s="10"/>
      <c r="H25" s="10"/>
      <c r="I25" s="13"/>
      <c r="J25" s="10"/>
      <c r="K25" s="13"/>
      <c r="L25" s="10"/>
      <c r="M25" s="10"/>
      <c r="N25" s="6"/>
      <c r="O25" s="6"/>
      <c r="P25" s="6"/>
      <c r="Q25" s="6"/>
      <c r="R25" s="6"/>
      <c r="S25" s="6"/>
    </row>
    <row r="26">
      <c r="A26" s="8">
        <v>45955.0</v>
      </c>
      <c r="B26" s="9">
        <v>9150.0</v>
      </c>
      <c r="C26" s="9">
        <v>3342.0</v>
      </c>
      <c r="D26" s="11">
        <f t="shared" si="1"/>
        <v>12492</v>
      </c>
      <c r="E26" s="3"/>
      <c r="F26" s="10"/>
      <c r="G26" s="10"/>
      <c r="H26" s="10"/>
      <c r="I26" s="13"/>
      <c r="J26" s="10"/>
      <c r="K26" s="13"/>
      <c r="L26" s="10"/>
      <c r="M26" s="10"/>
      <c r="N26" s="6"/>
      <c r="O26" s="6"/>
      <c r="P26" s="6"/>
      <c r="Q26" s="6"/>
      <c r="R26" s="6"/>
      <c r="S26" s="6"/>
    </row>
    <row r="27">
      <c r="A27" s="8">
        <v>45956.0</v>
      </c>
      <c r="B27" s="9">
        <v>6225.0</v>
      </c>
      <c r="C27" s="9">
        <v>820.0</v>
      </c>
      <c r="D27" s="11">
        <f t="shared" si="1"/>
        <v>7045</v>
      </c>
      <c r="E27" s="3"/>
      <c r="F27" s="10"/>
      <c r="G27" s="10"/>
      <c r="H27" s="10"/>
      <c r="I27" s="13"/>
      <c r="J27" s="10"/>
      <c r="K27" s="13"/>
      <c r="L27" s="10"/>
      <c r="M27" s="10"/>
      <c r="N27" s="6"/>
      <c r="O27" s="6"/>
      <c r="P27" s="6"/>
      <c r="Q27" s="6"/>
      <c r="R27" s="6"/>
      <c r="S27" s="6"/>
    </row>
    <row r="28">
      <c r="A28" s="8">
        <v>45957.0</v>
      </c>
      <c r="B28" s="9">
        <v>11411.0</v>
      </c>
      <c r="C28" s="9">
        <v>1992.0</v>
      </c>
      <c r="D28" s="11">
        <f t="shared" si="1"/>
        <v>13403</v>
      </c>
      <c r="E28" s="3"/>
      <c r="F28" s="10"/>
      <c r="G28" s="10"/>
      <c r="H28" s="10"/>
      <c r="I28" s="13"/>
      <c r="J28" s="10"/>
      <c r="K28" s="13"/>
      <c r="L28" s="10"/>
      <c r="M28" s="10"/>
      <c r="N28" s="6"/>
      <c r="O28" s="6"/>
      <c r="P28" s="6"/>
      <c r="Q28" s="6"/>
      <c r="R28" s="6"/>
      <c r="S28" s="6"/>
    </row>
    <row r="29">
      <c r="A29" s="8">
        <v>45958.0</v>
      </c>
      <c r="B29" s="9">
        <v>9740.0</v>
      </c>
      <c r="C29" s="9">
        <v>400.0</v>
      </c>
      <c r="D29" s="11">
        <f t="shared" si="1"/>
        <v>10140</v>
      </c>
      <c r="E29" s="3"/>
      <c r="F29" s="10"/>
      <c r="G29" s="10"/>
      <c r="H29" s="10"/>
      <c r="I29" s="13"/>
      <c r="J29" s="10"/>
      <c r="K29" s="13"/>
      <c r="L29" s="10"/>
      <c r="M29" s="10"/>
      <c r="N29" s="6"/>
      <c r="O29" s="6"/>
      <c r="P29" s="6"/>
      <c r="Q29" s="6"/>
      <c r="R29" s="6"/>
      <c r="S29" s="6"/>
    </row>
    <row r="30">
      <c r="A30" s="8">
        <v>45959.0</v>
      </c>
      <c r="B30" s="9">
        <v>13160.0</v>
      </c>
      <c r="C30" s="9">
        <v>1220.0</v>
      </c>
      <c r="D30" s="11">
        <f t="shared" si="1"/>
        <v>14380</v>
      </c>
      <c r="E30" s="3"/>
      <c r="F30" s="10"/>
      <c r="G30" s="10"/>
      <c r="H30" s="10"/>
      <c r="I30" s="13"/>
      <c r="J30" s="10"/>
      <c r="K30" s="13"/>
      <c r="L30" s="10"/>
      <c r="M30" s="10"/>
      <c r="N30" s="6"/>
      <c r="O30" s="6"/>
      <c r="P30" s="6"/>
      <c r="Q30" s="6"/>
      <c r="R30" s="6"/>
      <c r="S30" s="6"/>
    </row>
    <row r="31">
      <c r="A31" s="8">
        <v>45960.0</v>
      </c>
      <c r="B31" s="9">
        <v>6040.0</v>
      </c>
      <c r="C31" s="9">
        <v>640.0</v>
      </c>
      <c r="D31" s="11">
        <f t="shared" si="1"/>
        <v>6680</v>
      </c>
      <c r="E31" s="3"/>
      <c r="F31" s="10"/>
      <c r="G31" s="10"/>
      <c r="H31" s="10"/>
      <c r="I31" s="13"/>
      <c r="J31" s="10"/>
      <c r="K31" s="13"/>
      <c r="L31" s="10"/>
      <c r="M31" s="10"/>
      <c r="N31" s="6"/>
      <c r="O31" s="6"/>
      <c r="P31" s="6"/>
      <c r="Q31" s="6"/>
      <c r="R31" s="6"/>
      <c r="S31" s="6"/>
    </row>
    <row r="32">
      <c r="A32" s="8">
        <v>45961.0</v>
      </c>
      <c r="B32" s="9">
        <v>11080.0</v>
      </c>
      <c r="C32" s="9">
        <v>1130.0</v>
      </c>
      <c r="D32" s="11">
        <f t="shared" si="1"/>
        <v>12210</v>
      </c>
      <c r="E32" s="3"/>
      <c r="F32" s="10"/>
      <c r="G32" s="10"/>
      <c r="H32" s="10"/>
      <c r="I32" s="13"/>
      <c r="J32" s="10"/>
      <c r="K32" s="13"/>
      <c r="L32" s="10"/>
      <c r="M32" s="10"/>
      <c r="N32" s="6"/>
      <c r="O32" s="6"/>
      <c r="P32" s="6"/>
      <c r="Q32" s="6"/>
      <c r="R32" s="6"/>
      <c r="S32" s="6"/>
    </row>
    <row r="33">
      <c r="A33" s="18"/>
      <c r="B33" s="10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>
      <c r="A34" s="6"/>
      <c r="B34" s="6"/>
      <c r="C34" s="6"/>
      <c r="D34" s="6"/>
      <c r="E34" s="6"/>
      <c r="F34" s="19">
        <f>F35*100/D35</f>
        <v>30.36381002</v>
      </c>
      <c r="G34" s="19">
        <f>G35*100/D35</f>
        <v>26.57810194</v>
      </c>
      <c r="H34" s="19">
        <f>H35*100/D35</f>
        <v>20.11969424</v>
      </c>
      <c r="I34" s="6"/>
      <c r="J34" s="19">
        <f>J35*100/D35</f>
        <v>0.3826871067</v>
      </c>
      <c r="K34" s="6"/>
      <c r="L34" s="19">
        <f>L35*100/J35</f>
        <v>0</v>
      </c>
      <c r="M34" s="19">
        <f>M35*100/D35</f>
        <v>22.5557067</v>
      </c>
      <c r="N34" s="6"/>
      <c r="O34" s="6"/>
      <c r="P34" s="6"/>
      <c r="Q34" s="6"/>
      <c r="R34" s="6"/>
      <c r="S34" s="6"/>
    </row>
    <row r="35">
      <c r="A35" s="6"/>
      <c r="B35" s="20">
        <f t="shared" ref="B35:D35" si="2">SUM(B2:B32)</f>
        <v>263394</v>
      </c>
      <c r="C35" s="20">
        <f t="shared" si="2"/>
        <v>47565</v>
      </c>
      <c r="D35" s="20">
        <f t="shared" si="2"/>
        <v>310959</v>
      </c>
      <c r="E35" s="6"/>
      <c r="F35" s="20">
        <f t="shared" ref="F35:G35" si="3">SUM(F2:F32)</f>
        <v>94419</v>
      </c>
      <c r="G35" s="20">
        <f t="shared" si="3"/>
        <v>82647</v>
      </c>
      <c r="H35" s="20">
        <f>SUM(H3:H32)</f>
        <v>62564</v>
      </c>
      <c r="I35" s="6"/>
      <c r="J35" s="20">
        <f>SUM(J2:J32)</f>
        <v>1190</v>
      </c>
      <c r="K35" s="6"/>
      <c r="L35" s="20">
        <f>SUM(L2:L32)</f>
        <v>0</v>
      </c>
      <c r="M35" s="20">
        <f>D35-F35-G35-H35-J35-L35</f>
        <v>70139</v>
      </c>
      <c r="N35" s="6"/>
      <c r="O35" s="6"/>
      <c r="P35" s="6"/>
      <c r="Q35" s="6"/>
      <c r="R35" s="6"/>
      <c r="S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21">
        <f>F35+G35+H35+J35+L35</f>
        <v>240820</v>
      </c>
      <c r="M37" s="6"/>
      <c r="N37" s="6"/>
      <c r="O37" s="6"/>
      <c r="P37" s="6"/>
      <c r="Q37" s="6"/>
      <c r="R37" s="6"/>
      <c r="S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4" t="s">
        <v>7</v>
      </c>
      <c r="L1" s="4" t="s">
        <v>9</v>
      </c>
      <c r="M1" s="4" t="s">
        <v>10</v>
      </c>
      <c r="N1" s="6"/>
      <c r="O1" s="6"/>
      <c r="P1" s="6" t="s">
        <v>26</v>
      </c>
      <c r="Q1" s="6"/>
      <c r="R1" s="6"/>
      <c r="S1" s="6"/>
      <c r="T1" s="6"/>
    </row>
    <row r="2">
      <c r="A2" s="8">
        <v>45931.0</v>
      </c>
      <c r="B2" s="9">
        <v>9136.0</v>
      </c>
      <c r="C2" s="9">
        <v>1840.0</v>
      </c>
      <c r="D2" s="11">
        <f t="shared" ref="D2:D32" si="1">B2+C2</f>
        <v>10976</v>
      </c>
      <c r="E2" s="3"/>
      <c r="F2" s="9">
        <v>84530.0</v>
      </c>
      <c r="G2" s="9">
        <v>2000.0</v>
      </c>
      <c r="H2" s="10"/>
      <c r="I2" s="13"/>
      <c r="J2" s="10"/>
      <c r="K2" s="13"/>
      <c r="L2" s="10"/>
      <c r="M2" s="10"/>
      <c r="N2" s="6"/>
      <c r="O2" s="6"/>
      <c r="P2" s="6" t="s">
        <v>13</v>
      </c>
      <c r="Q2" s="6" t="s">
        <v>12</v>
      </c>
      <c r="R2" s="6" t="s">
        <v>13</v>
      </c>
      <c r="S2" s="6" t="s">
        <v>14</v>
      </c>
      <c r="T2" s="6"/>
    </row>
    <row r="3">
      <c r="A3" s="8">
        <v>45932.0</v>
      </c>
      <c r="B3" s="9">
        <v>5465.0</v>
      </c>
      <c r="C3" s="9">
        <v>690.0</v>
      </c>
      <c r="D3" s="11">
        <f t="shared" si="1"/>
        <v>6155</v>
      </c>
      <c r="E3" s="3"/>
      <c r="F3" s="10"/>
      <c r="G3" s="14">
        <v>73179.0</v>
      </c>
      <c r="H3" s="9"/>
      <c r="I3" s="12"/>
      <c r="J3" s="9"/>
      <c r="K3" s="13"/>
      <c r="L3" s="10"/>
      <c r="M3" s="10"/>
      <c r="N3" s="15" t="s">
        <v>2</v>
      </c>
      <c r="O3" s="6"/>
      <c r="P3" s="7">
        <v>249919.0</v>
      </c>
      <c r="Q3" s="7">
        <v>250094.0</v>
      </c>
      <c r="R3" s="7">
        <v>123309.0</v>
      </c>
      <c r="S3" s="7">
        <v>123483.0</v>
      </c>
      <c r="T3" s="6"/>
    </row>
    <row r="4">
      <c r="A4" s="8">
        <v>45933.0</v>
      </c>
      <c r="B4" s="9">
        <v>8145.0</v>
      </c>
      <c r="C4" s="9">
        <v>480.0</v>
      </c>
      <c r="D4" s="11">
        <f t="shared" si="1"/>
        <v>8625</v>
      </c>
      <c r="E4" s="3"/>
      <c r="F4" s="10"/>
      <c r="G4" s="10"/>
      <c r="H4" s="9">
        <v>9336.0</v>
      </c>
      <c r="I4" s="12" t="s">
        <v>57</v>
      </c>
      <c r="J4" s="10"/>
      <c r="K4" s="13"/>
      <c r="L4" s="10"/>
      <c r="M4" s="10"/>
      <c r="N4" s="16" t="s">
        <v>17</v>
      </c>
      <c r="O4" s="6"/>
      <c r="P4" s="7">
        <v>250120.0</v>
      </c>
      <c r="Q4" s="7">
        <v>250294.0</v>
      </c>
      <c r="R4" s="7">
        <v>123509.0</v>
      </c>
      <c r="S4" s="7">
        <v>123682.0</v>
      </c>
      <c r="T4" s="6"/>
    </row>
    <row r="5">
      <c r="A5" s="8">
        <v>45934.0</v>
      </c>
      <c r="B5" s="9">
        <v>11120.0</v>
      </c>
      <c r="C5" s="9">
        <v>2150.0</v>
      </c>
      <c r="D5" s="11">
        <f t="shared" si="1"/>
        <v>13270</v>
      </c>
      <c r="E5" s="3"/>
      <c r="F5" s="10"/>
      <c r="G5" s="10"/>
      <c r="H5" s="9">
        <v>5977.0</v>
      </c>
      <c r="I5" s="12" t="s">
        <v>27</v>
      </c>
      <c r="J5" s="10"/>
      <c r="K5" s="13"/>
      <c r="L5" s="10"/>
      <c r="M5" s="10"/>
      <c r="N5" s="17" t="s">
        <v>19</v>
      </c>
      <c r="O5" s="6"/>
      <c r="P5" s="7">
        <v>250319.0</v>
      </c>
      <c r="Q5" s="7">
        <v>250495.0</v>
      </c>
      <c r="R5" s="7">
        <v>123708.0</v>
      </c>
      <c r="S5" s="7">
        <v>123883.0</v>
      </c>
      <c r="T5" s="6"/>
    </row>
    <row r="6">
      <c r="A6" s="8">
        <v>45935.0</v>
      </c>
      <c r="B6" s="9">
        <v>4460.0</v>
      </c>
      <c r="C6" s="9">
        <v>160.0</v>
      </c>
      <c r="D6" s="11">
        <f t="shared" si="1"/>
        <v>4620</v>
      </c>
      <c r="E6" s="3"/>
      <c r="F6" s="10"/>
      <c r="G6" s="10"/>
      <c r="H6" s="9">
        <v>15000.0</v>
      </c>
      <c r="I6" s="12" t="s">
        <v>46</v>
      </c>
      <c r="J6" s="10"/>
      <c r="K6" s="13"/>
      <c r="L6" s="10"/>
      <c r="M6" s="10"/>
      <c r="N6" s="6"/>
      <c r="O6" s="6"/>
      <c r="P6" s="7">
        <v>250538.0</v>
      </c>
      <c r="Q6" s="7">
        <v>250693.0</v>
      </c>
      <c r="R6" s="7">
        <v>123926.0</v>
      </c>
      <c r="S6" s="7">
        <v>124081.0</v>
      </c>
      <c r="T6" s="6"/>
    </row>
    <row r="7">
      <c r="A7" s="8">
        <v>45936.0</v>
      </c>
      <c r="B7" s="9">
        <v>3150.0</v>
      </c>
      <c r="C7" s="9">
        <v>0.0</v>
      </c>
      <c r="D7" s="11">
        <f t="shared" si="1"/>
        <v>3150</v>
      </c>
      <c r="E7" s="3"/>
      <c r="F7" s="10"/>
      <c r="G7" s="10"/>
      <c r="H7" s="9">
        <v>5977.0</v>
      </c>
      <c r="I7" s="12" t="s">
        <v>27</v>
      </c>
      <c r="J7" s="10"/>
      <c r="K7" s="13"/>
      <c r="L7" s="10"/>
      <c r="M7" s="10"/>
      <c r="N7" s="6"/>
      <c r="O7" s="6"/>
      <c r="P7" s="7">
        <v>250721.0</v>
      </c>
      <c r="Q7" s="7">
        <v>250904.0</v>
      </c>
      <c r="R7" s="7">
        <v>124108.0</v>
      </c>
      <c r="S7" s="7">
        <v>124291.0</v>
      </c>
      <c r="T7" s="6"/>
    </row>
    <row r="8">
      <c r="A8" s="8">
        <v>45937.0</v>
      </c>
      <c r="B8" s="9">
        <v>7225.0</v>
      </c>
      <c r="C8" s="9">
        <v>0.0</v>
      </c>
      <c r="D8" s="11">
        <f t="shared" si="1"/>
        <v>7225</v>
      </c>
      <c r="E8" s="3"/>
      <c r="F8" s="10"/>
      <c r="G8" s="10"/>
      <c r="H8" s="9">
        <v>25100.0</v>
      </c>
      <c r="I8" s="12" t="s">
        <v>18</v>
      </c>
      <c r="J8" s="10"/>
      <c r="K8" s="13"/>
      <c r="L8" s="10"/>
      <c r="M8" s="10"/>
      <c r="N8" s="6"/>
      <c r="O8" s="6"/>
      <c r="P8" s="7">
        <v>250929.0</v>
      </c>
      <c r="Q8" s="7">
        <v>251099.0</v>
      </c>
      <c r="R8" s="7">
        <v>124316.0</v>
      </c>
      <c r="S8" s="7">
        <v>124486.0</v>
      </c>
      <c r="T8" s="6"/>
    </row>
    <row r="9">
      <c r="A9" s="8">
        <v>45938.0</v>
      </c>
      <c r="B9" s="9">
        <v>4500.0</v>
      </c>
      <c r="C9" s="9">
        <v>640.0</v>
      </c>
      <c r="D9" s="11">
        <f t="shared" si="1"/>
        <v>5140</v>
      </c>
      <c r="E9" s="3"/>
      <c r="F9" s="10"/>
      <c r="G9" s="10"/>
      <c r="H9" s="9"/>
      <c r="I9" s="12"/>
      <c r="J9" s="10"/>
      <c r="K9" s="13"/>
      <c r="L9" s="10"/>
      <c r="M9" s="10"/>
      <c r="N9" s="6"/>
      <c r="O9" s="6"/>
      <c r="P9" s="7">
        <v>251126.0</v>
      </c>
      <c r="Q9" s="7">
        <v>251320.0</v>
      </c>
      <c r="R9" s="7">
        <v>124513.0</v>
      </c>
      <c r="S9" s="7">
        <v>124706.0</v>
      </c>
      <c r="T9" s="6"/>
    </row>
    <row r="10">
      <c r="A10" s="8">
        <v>45939.0</v>
      </c>
      <c r="B10" s="9">
        <v>5190.0</v>
      </c>
      <c r="C10" s="9">
        <v>2070.0</v>
      </c>
      <c r="D10" s="11">
        <f t="shared" si="1"/>
        <v>7260</v>
      </c>
      <c r="E10" s="3"/>
      <c r="F10" s="10"/>
      <c r="G10" s="10"/>
      <c r="H10" s="10"/>
      <c r="I10" s="13"/>
      <c r="J10" s="10"/>
      <c r="K10" s="13"/>
      <c r="L10" s="10"/>
      <c r="M10" s="10"/>
      <c r="N10" s="6"/>
      <c r="O10" s="6"/>
      <c r="P10" s="7">
        <v>251346.0</v>
      </c>
      <c r="Q10" s="7">
        <v>251537.0</v>
      </c>
      <c r="R10" s="7">
        <v>124732.0</v>
      </c>
      <c r="S10" s="7">
        <v>124923.0</v>
      </c>
      <c r="T10" s="6"/>
    </row>
    <row r="11">
      <c r="A11" s="8">
        <v>45940.0</v>
      </c>
      <c r="B11" s="9">
        <v>3190.0</v>
      </c>
      <c r="C11" s="9">
        <v>790.0</v>
      </c>
      <c r="D11" s="11">
        <f t="shared" si="1"/>
        <v>3980</v>
      </c>
      <c r="E11" s="3"/>
      <c r="F11" s="10"/>
      <c r="G11" s="10"/>
      <c r="H11" s="10"/>
      <c r="I11" s="13"/>
      <c r="J11" s="10"/>
      <c r="K11" s="13"/>
      <c r="L11" s="10"/>
      <c r="M11" s="10"/>
      <c r="N11" s="6"/>
      <c r="O11" s="6"/>
      <c r="P11" s="7">
        <v>251065.0</v>
      </c>
      <c r="Q11" s="7">
        <v>251753.0</v>
      </c>
      <c r="R11" s="7">
        <v>124950.0</v>
      </c>
      <c r="S11" s="7">
        <v>125138.0</v>
      </c>
      <c r="T11" s="6"/>
    </row>
    <row r="12">
      <c r="A12" s="8">
        <v>45941.0</v>
      </c>
      <c r="B12" s="9">
        <v>3240.0</v>
      </c>
      <c r="C12" s="9">
        <v>310.0</v>
      </c>
      <c r="D12" s="11">
        <f t="shared" si="1"/>
        <v>3550</v>
      </c>
      <c r="E12" s="3"/>
      <c r="F12" s="10"/>
      <c r="G12" s="10"/>
      <c r="H12" s="10"/>
      <c r="I12" s="13"/>
      <c r="J12" s="10"/>
      <c r="K12" s="13"/>
      <c r="L12" s="10"/>
      <c r="M12" s="10"/>
      <c r="N12" s="6"/>
      <c r="O12" s="6"/>
      <c r="P12" s="7">
        <v>252005.0</v>
      </c>
      <c r="Q12" s="7">
        <v>252151.0</v>
      </c>
      <c r="R12" s="7">
        <v>125389.0</v>
      </c>
      <c r="S12" s="7">
        <v>125535.0</v>
      </c>
      <c r="T12" s="6"/>
    </row>
    <row r="13">
      <c r="A13" s="8">
        <v>45942.0</v>
      </c>
      <c r="B13" s="9">
        <v>4930.0</v>
      </c>
      <c r="C13" s="9">
        <v>360.0</v>
      </c>
      <c r="D13" s="11">
        <f t="shared" si="1"/>
        <v>5290</v>
      </c>
      <c r="E13" s="3"/>
      <c r="F13" s="10"/>
      <c r="G13" s="10"/>
      <c r="H13" s="10"/>
      <c r="I13" s="13"/>
      <c r="J13" s="10"/>
      <c r="K13" s="13"/>
      <c r="L13" s="10"/>
      <c r="M13" s="10"/>
      <c r="N13" s="6"/>
      <c r="O13" s="6"/>
      <c r="P13" s="7">
        <v>251778.0</v>
      </c>
      <c r="Q13" s="7">
        <v>251962.0</v>
      </c>
      <c r="R13" s="7">
        <v>125163.0</v>
      </c>
      <c r="S13" s="7">
        <v>125346.0</v>
      </c>
      <c r="T13" s="6"/>
    </row>
    <row r="14">
      <c r="A14" s="8">
        <v>45943.0</v>
      </c>
      <c r="B14" s="9">
        <v>8610.0</v>
      </c>
      <c r="C14" s="9">
        <v>0.0</v>
      </c>
      <c r="D14" s="11">
        <f t="shared" si="1"/>
        <v>8610</v>
      </c>
      <c r="E14" s="3"/>
      <c r="F14" s="10"/>
      <c r="G14" s="10"/>
      <c r="H14" s="10"/>
      <c r="I14" s="13"/>
      <c r="J14" s="10"/>
      <c r="K14" s="13"/>
      <c r="L14" s="10"/>
      <c r="M14" s="10"/>
      <c r="N14" s="6"/>
      <c r="O14" s="6"/>
      <c r="P14" s="7">
        <v>252369.0</v>
      </c>
      <c r="Q14" s="7">
        <v>252568.0</v>
      </c>
      <c r="R14" s="7">
        <v>125753.0</v>
      </c>
      <c r="S14" s="7">
        <v>125951.0</v>
      </c>
      <c r="T14" s="6"/>
    </row>
    <row r="15">
      <c r="A15" s="8">
        <v>45944.0</v>
      </c>
      <c r="B15" s="9">
        <v>7550.0</v>
      </c>
      <c r="C15" s="9">
        <v>840.0</v>
      </c>
      <c r="D15" s="11">
        <f t="shared" si="1"/>
        <v>8390</v>
      </c>
      <c r="E15" s="3"/>
      <c r="F15" s="10"/>
      <c r="G15" s="10"/>
      <c r="H15" s="10"/>
      <c r="I15" s="13"/>
      <c r="J15" s="10"/>
      <c r="K15" s="13"/>
      <c r="L15" s="10"/>
      <c r="M15" s="10"/>
      <c r="N15" s="6"/>
      <c r="O15" s="6"/>
      <c r="P15" s="6"/>
      <c r="Q15" s="6"/>
      <c r="R15" s="6"/>
      <c r="S15" s="6"/>
      <c r="T15" s="6"/>
    </row>
    <row r="16">
      <c r="A16" s="8">
        <v>45945.0</v>
      </c>
      <c r="B16" s="9">
        <v>8001.0</v>
      </c>
      <c r="C16" s="9">
        <v>750.0</v>
      </c>
      <c r="D16" s="11">
        <f t="shared" si="1"/>
        <v>8751</v>
      </c>
      <c r="E16" s="3"/>
      <c r="F16" s="10"/>
      <c r="G16" s="10"/>
      <c r="H16" s="10"/>
      <c r="I16" s="13"/>
      <c r="J16" s="10"/>
      <c r="K16" s="13"/>
      <c r="L16" s="10"/>
      <c r="M16" s="10"/>
      <c r="N16" s="6"/>
      <c r="O16" s="6"/>
      <c r="P16" s="7">
        <v>252593.0</v>
      </c>
      <c r="Q16" s="7">
        <v>252794.0</v>
      </c>
      <c r="R16" s="7">
        <v>125976.0</v>
      </c>
      <c r="S16" s="7">
        <v>126176.0</v>
      </c>
      <c r="T16" s="6"/>
    </row>
    <row r="17">
      <c r="A17" s="8">
        <v>45946.0</v>
      </c>
      <c r="B17" s="9">
        <v>5615.0</v>
      </c>
      <c r="C17" s="9">
        <v>0.0</v>
      </c>
      <c r="D17" s="11">
        <f t="shared" si="1"/>
        <v>5615</v>
      </c>
      <c r="E17" s="3"/>
      <c r="F17" s="10"/>
      <c r="G17" s="10"/>
      <c r="H17" s="10"/>
      <c r="I17" s="13"/>
      <c r="J17" s="10"/>
      <c r="K17" s="13"/>
      <c r="L17" s="10"/>
      <c r="M17" s="10"/>
      <c r="N17" s="6"/>
      <c r="O17" s="6"/>
      <c r="P17" s="7">
        <v>252818.0</v>
      </c>
      <c r="Q17" s="7">
        <v>253003.0</v>
      </c>
      <c r="R17" s="7">
        <v>126200.0</v>
      </c>
      <c r="S17" s="7">
        <v>126385.0</v>
      </c>
      <c r="T17" s="6"/>
    </row>
    <row r="18">
      <c r="A18" s="8">
        <v>45947.0</v>
      </c>
      <c r="B18" s="9">
        <v>6035.0</v>
      </c>
      <c r="C18" s="9">
        <v>1150.0</v>
      </c>
      <c r="D18" s="11">
        <f t="shared" si="1"/>
        <v>7185</v>
      </c>
      <c r="E18" s="3"/>
      <c r="F18" s="10"/>
      <c r="G18" s="10"/>
      <c r="H18" s="10"/>
      <c r="I18" s="13"/>
      <c r="J18" s="10"/>
      <c r="K18" s="13"/>
      <c r="L18" s="10"/>
      <c r="M18" s="10"/>
      <c r="N18" s="6"/>
      <c r="O18" s="6"/>
      <c r="P18" s="7">
        <v>253029.0</v>
      </c>
      <c r="Q18" s="7">
        <v>253222.0</v>
      </c>
      <c r="R18" s="7">
        <v>126411.0</v>
      </c>
      <c r="S18" s="7">
        <v>126603.0</v>
      </c>
      <c r="T18" s="6"/>
    </row>
    <row r="19">
      <c r="A19" s="8">
        <v>45948.0</v>
      </c>
      <c r="B19" s="9">
        <v>5220.0</v>
      </c>
      <c r="C19" s="9">
        <v>800.0</v>
      </c>
      <c r="D19" s="11">
        <f t="shared" si="1"/>
        <v>6020</v>
      </c>
      <c r="E19" s="3"/>
      <c r="F19" s="10"/>
      <c r="G19" s="10"/>
      <c r="H19" s="10"/>
      <c r="I19" s="13"/>
      <c r="J19" s="10"/>
      <c r="K19" s="13"/>
      <c r="L19" s="10"/>
      <c r="M19" s="10"/>
      <c r="N19" s="6"/>
      <c r="O19" s="6"/>
      <c r="P19" s="7">
        <v>253246.0</v>
      </c>
      <c r="Q19" s="7">
        <v>253444.0</v>
      </c>
      <c r="R19" s="7">
        <v>126627.0</v>
      </c>
      <c r="S19" s="7">
        <v>126825.0</v>
      </c>
      <c r="T19" s="6"/>
    </row>
    <row r="20">
      <c r="A20" s="8">
        <v>45949.0</v>
      </c>
      <c r="B20" s="9">
        <v>8160.0</v>
      </c>
      <c r="C20" s="9">
        <v>760.0</v>
      </c>
      <c r="D20" s="11">
        <f t="shared" si="1"/>
        <v>8920</v>
      </c>
      <c r="E20" s="3"/>
      <c r="F20" s="10"/>
      <c r="G20" s="10"/>
      <c r="H20" s="10"/>
      <c r="I20" s="13"/>
      <c r="J20" s="10"/>
      <c r="K20" s="13"/>
      <c r="L20" s="10"/>
      <c r="M20" s="10"/>
      <c r="N20" s="6"/>
      <c r="O20" s="6"/>
      <c r="P20" s="7">
        <v>253490.0</v>
      </c>
      <c r="Q20" s="7">
        <v>253641.0</v>
      </c>
      <c r="R20" s="7">
        <v>126870.0</v>
      </c>
      <c r="S20" s="7">
        <v>127021.0</v>
      </c>
      <c r="T20" s="6"/>
    </row>
    <row r="21">
      <c r="A21" s="8">
        <v>45950.0</v>
      </c>
      <c r="B21" s="9">
        <v>9037.0</v>
      </c>
      <c r="C21" s="9">
        <v>850.0</v>
      </c>
      <c r="D21" s="11">
        <f t="shared" si="1"/>
        <v>9887</v>
      </c>
      <c r="E21" s="3"/>
      <c r="F21" s="10"/>
      <c r="G21" s="10"/>
      <c r="H21" s="10"/>
      <c r="I21" s="13"/>
      <c r="J21" s="10"/>
      <c r="K21" s="13"/>
      <c r="L21" s="10"/>
      <c r="M21" s="10"/>
      <c r="N21" s="6"/>
      <c r="O21" s="6"/>
      <c r="P21" s="7">
        <v>253687.0</v>
      </c>
      <c r="Q21" s="7">
        <v>253845.0</v>
      </c>
      <c r="R21" s="7">
        <v>127067.0</v>
      </c>
      <c r="S21" s="7">
        <v>127224.0</v>
      </c>
      <c r="T21" s="6"/>
    </row>
    <row r="22">
      <c r="A22" s="8">
        <v>45951.0</v>
      </c>
      <c r="B22" s="9">
        <v>7125.0</v>
      </c>
      <c r="C22" s="9">
        <v>1640.0</v>
      </c>
      <c r="D22" s="11">
        <f t="shared" si="1"/>
        <v>8765</v>
      </c>
      <c r="E22" s="3"/>
      <c r="F22" s="10"/>
      <c r="G22" s="10"/>
      <c r="H22" s="10"/>
      <c r="I22" s="13"/>
      <c r="J22" s="10"/>
      <c r="K22" s="13"/>
      <c r="L22" s="10"/>
      <c r="M22" s="10"/>
      <c r="N22" s="6"/>
      <c r="O22" s="6"/>
      <c r="P22" s="7">
        <v>253870.0</v>
      </c>
      <c r="Q22" s="7">
        <v>254064.0</v>
      </c>
      <c r="R22" s="7">
        <v>127250.0</v>
      </c>
      <c r="S22" s="7">
        <v>127443.0</v>
      </c>
      <c r="T22" s="6"/>
    </row>
    <row r="23">
      <c r="A23" s="8">
        <v>45952.0</v>
      </c>
      <c r="B23" s="9">
        <v>6162.0</v>
      </c>
      <c r="C23" s="9">
        <v>1390.0</v>
      </c>
      <c r="D23" s="11">
        <f t="shared" si="1"/>
        <v>7552</v>
      </c>
      <c r="E23" s="3"/>
      <c r="F23" s="10"/>
      <c r="G23" s="10"/>
      <c r="H23" s="10"/>
      <c r="I23" s="13"/>
      <c r="J23" s="10"/>
      <c r="K23" s="13"/>
      <c r="L23" s="10"/>
      <c r="M23" s="10"/>
      <c r="N23" s="6"/>
      <c r="O23" s="6"/>
      <c r="P23" s="7">
        <v>254088.0</v>
      </c>
      <c r="Q23" s="7">
        <v>254295.0</v>
      </c>
      <c r="R23" s="7">
        <v>127467.0</v>
      </c>
      <c r="S23" s="7">
        <v>127673.0</v>
      </c>
      <c r="T23" s="6"/>
    </row>
    <row r="24">
      <c r="A24" s="8">
        <v>45953.0</v>
      </c>
      <c r="B24" s="9">
        <v>3870.0</v>
      </c>
      <c r="C24" s="9">
        <v>1580.0</v>
      </c>
      <c r="D24" s="11">
        <f t="shared" si="1"/>
        <v>5450</v>
      </c>
      <c r="E24" s="3"/>
      <c r="F24" s="10"/>
      <c r="G24" s="10"/>
      <c r="H24" s="10"/>
      <c r="I24" s="13"/>
      <c r="J24" s="10"/>
      <c r="K24" s="13"/>
      <c r="L24" s="10"/>
      <c r="M24" s="10"/>
      <c r="N24" s="6"/>
      <c r="O24" s="6"/>
      <c r="P24" s="7">
        <v>254318.0</v>
      </c>
      <c r="Q24" s="7">
        <v>254519.0</v>
      </c>
      <c r="R24" s="7">
        <v>127697.0</v>
      </c>
      <c r="S24" s="7">
        <v>127887.0</v>
      </c>
      <c r="T24" s="6"/>
    </row>
    <row r="25">
      <c r="A25" s="8">
        <v>45954.0</v>
      </c>
      <c r="B25" s="9">
        <v>7525.0</v>
      </c>
      <c r="C25" s="9">
        <v>670.0</v>
      </c>
      <c r="D25" s="11">
        <f t="shared" si="1"/>
        <v>8195</v>
      </c>
      <c r="E25" s="3"/>
      <c r="F25" s="10"/>
      <c r="G25" s="10"/>
      <c r="H25" s="10"/>
      <c r="I25" s="13"/>
      <c r="J25" s="10"/>
      <c r="K25" s="13"/>
      <c r="L25" s="10"/>
      <c r="M25" s="10"/>
      <c r="N25" s="6"/>
      <c r="O25" s="6"/>
      <c r="P25" s="7">
        <v>254534.0</v>
      </c>
      <c r="Q25" s="7">
        <v>254718.0</v>
      </c>
      <c r="R25" s="7">
        <v>127913.0</v>
      </c>
      <c r="S25" s="7">
        <v>128096.0</v>
      </c>
      <c r="T25" s="6"/>
    </row>
    <row r="26">
      <c r="A26" s="8">
        <v>45955.0</v>
      </c>
      <c r="B26" s="9">
        <v>8809.0</v>
      </c>
      <c r="C26" s="9">
        <v>810.0</v>
      </c>
      <c r="D26" s="11">
        <f t="shared" si="1"/>
        <v>9619</v>
      </c>
      <c r="E26" s="3"/>
      <c r="F26" s="10"/>
      <c r="G26" s="10"/>
      <c r="H26" s="10"/>
      <c r="I26" s="13"/>
      <c r="J26" s="10"/>
      <c r="K26" s="13"/>
      <c r="L26" s="10"/>
      <c r="M26" s="10"/>
      <c r="N26" s="6"/>
      <c r="O26" s="6"/>
      <c r="P26" s="7">
        <v>254976.0</v>
      </c>
      <c r="Q26" s="7">
        <v>255133.0</v>
      </c>
      <c r="R26" s="7">
        <v>128353.0</v>
      </c>
      <c r="S26" s="7">
        <v>128510.0</v>
      </c>
      <c r="T26" s="6"/>
    </row>
    <row r="27">
      <c r="A27" s="8">
        <v>45956.0</v>
      </c>
      <c r="B27" s="9">
        <v>3730.0</v>
      </c>
      <c r="C27" s="9">
        <v>680.0</v>
      </c>
      <c r="D27" s="11">
        <f t="shared" si="1"/>
        <v>4410</v>
      </c>
      <c r="E27" s="3"/>
      <c r="F27" s="10"/>
      <c r="G27" s="10"/>
      <c r="H27" s="10"/>
      <c r="I27" s="13"/>
      <c r="J27" s="10"/>
      <c r="K27" s="13"/>
      <c r="L27" s="10"/>
      <c r="M27" s="10"/>
      <c r="N27" s="6"/>
      <c r="O27" s="6"/>
      <c r="P27" s="7">
        <v>254743.0</v>
      </c>
      <c r="Q27" s="7">
        <v>254934.0</v>
      </c>
      <c r="R27" s="7">
        <v>128120.0</v>
      </c>
      <c r="S27" s="7">
        <v>128311.0</v>
      </c>
      <c r="T27" s="6"/>
    </row>
    <row r="28">
      <c r="A28" s="8">
        <v>45957.0</v>
      </c>
      <c r="B28" s="9">
        <v>1315.0</v>
      </c>
      <c r="C28" s="9">
        <v>590.0</v>
      </c>
      <c r="D28" s="11">
        <f t="shared" si="1"/>
        <v>1905</v>
      </c>
      <c r="E28" s="3"/>
      <c r="F28" s="10"/>
      <c r="G28" s="10"/>
      <c r="H28" s="10"/>
      <c r="I28" s="13"/>
      <c r="J28" s="10"/>
      <c r="K28" s="13"/>
      <c r="L28" s="10"/>
      <c r="M28" s="10"/>
      <c r="N28" s="6"/>
      <c r="O28" s="6"/>
      <c r="P28" s="7">
        <v>255180.0</v>
      </c>
      <c r="Q28" s="7">
        <v>255324.0</v>
      </c>
      <c r="R28" s="7">
        <v>128556.0</v>
      </c>
      <c r="S28" s="7">
        <v>128700.0</v>
      </c>
      <c r="T28" s="6"/>
    </row>
    <row r="29">
      <c r="A29" s="8">
        <v>45958.0</v>
      </c>
      <c r="B29" s="9">
        <v>4145.0</v>
      </c>
      <c r="C29" s="9">
        <v>690.0</v>
      </c>
      <c r="D29" s="11">
        <f t="shared" si="1"/>
        <v>4835</v>
      </c>
      <c r="E29" s="3"/>
      <c r="F29" s="10"/>
      <c r="G29" s="10"/>
      <c r="H29" s="10"/>
      <c r="I29" s="13"/>
      <c r="J29" s="10"/>
      <c r="K29" s="13"/>
      <c r="L29" s="10"/>
      <c r="M29" s="10"/>
      <c r="N29" s="6"/>
      <c r="O29" s="6"/>
      <c r="P29" s="6"/>
      <c r="Q29" s="6"/>
      <c r="R29" s="6"/>
      <c r="S29" s="6"/>
      <c r="T29" s="6"/>
    </row>
    <row r="30">
      <c r="A30" s="8">
        <v>45959.0</v>
      </c>
      <c r="B30" s="9">
        <v>5840.0</v>
      </c>
      <c r="C30" s="9">
        <v>290.0</v>
      </c>
      <c r="D30" s="11">
        <f t="shared" si="1"/>
        <v>6130</v>
      </c>
      <c r="E30" s="3"/>
      <c r="F30" s="10"/>
      <c r="G30" s="10"/>
      <c r="H30" s="10"/>
      <c r="I30" s="13"/>
      <c r="J30" s="10"/>
      <c r="K30" s="13"/>
      <c r="L30" s="10"/>
      <c r="M30" s="10"/>
      <c r="N30" s="6"/>
      <c r="O30" s="6"/>
      <c r="P30" s="6"/>
      <c r="Q30" s="6"/>
      <c r="R30" s="6"/>
      <c r="S30" s="6"/>
      <c r="T30" s="6"/>
    </row>
    <row r="31">
      <c r="A31" s="8">
        <v>45960.0</v>
      </c>
      <c r="B31" s="9">
        <v>2715.0</v>
      </c>
      <c r="C31" s="9">
        <v>1400.0</v>
      </c>
      <c r="D31" s="11">
        <f t="shared" si="1"/>
        <v>4115</v>
      </c>
      <c r="E31" s="3"/>
      <c r="F31" s="10"/>
      <c r="G31" s="10"/>
      <c r="H31" s="10"/>
      <c r="I31" s="13"/>
      <c r="J31" s="10"/>
      <c r="K31" s="13"/>
      <c r="L31" s="10"/>
      <c r="M31" s="10"/>
      <c r="N31" s="6"/>
      <c r="O31" s="6"/>
      <c r="P31" s="6"/>
      <c r="Q31" s="6"/>
      <c r="R31" s="6"/>
      <c r="S31" s="6"/>
      <c r="T31" s="6"/>
    </row>
    <row r="32">
      <c r="A32" s="8">
        <v>45961.0</v>
      </c>
      <c r="B32" s="10"/>
      <c r="C32" s="10"/>
      <c r="D32" s="11">
        <f t="shared" si="1"/>
        <v>0</v>
      </c>
      <c r="E32" s="3"/>
      <c r="F32" s="10"/>
      <c r="G32" s="10"/>
      <c r="H32" s="10"/>
      <c r="I32" s="13"/>
      <c r="J32" s="10"/>
      <c r="K32" s="13"/>
      <c r="L32" s="10"/>
      <c r="M32" s="10"/>
      <c r="N32" s="6"/>
      <c r="O32" s="6"/>
      <c r="P32" s="6"/>
      <c r="Q32" s="6"/>
      <c r="R32" s="6"/>
      <c r="S32" s="6"/>
      <c r="T32" s="6"/>
    </row>
    <row r="33">
      <c r="A33" s="18"/>
      <c r="B33" s="10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6"/>
      <c r="B34" s="6"/>
      <c r="C34" s="6"/>
      <c r="D34" s="6"/>
      <c r="E34" s="6"/>
      <c r="F34" s="19">
        <f>F35*100/D35</f>
        <v>41.51870134</v>
      </c>
      <c r="G34" s="19">
        <f>G35*100/D35</f>
        <v>36.92575947</v>
      </c>
      <c r="H34" s="19">
        <f>H35*100/D35</f>
        <v>30.15299983</v>
      </c>
      <c r="I34" s="6"/>
      <c r="J34" s="19">
        <f>J35*100/D35</f>
        <v>0</v>
      </c>
      <c r="K34" s="6"/>
      <c r="L34" s="19" t="str">
        <f>L35*100/J35</f>
        <v>#DIV/0!</v>
      </c>
      <c r="M34" s="19">
        <f>M35*100/D35</f>
        <v>-8.597460645</v>
      </c>
      <c r="N34" s="6"/>
      <c r="O34" s="6"/>
      <c r="P34" s="6"/>
      <c r="Q34" s="6"/>
      <c r="R34" s="6"/>
      <c r="S34" s="6"/>
      <c r="T34" s="6"/>
    </row>
    <row r="35">
      <c r="A35" s="6"/>
      <c r="B35" s="20">
        <f t="shared" ref="B35:D35" si="2">SUM(B2:B32)</f>
        <v>179215</v>
      </c>
      <c r="C35" s="20">
        <f t="shared" si="2"/>
        <v>24380</v>
      </c>
      <c r="D35" s="20">
        <f t="shared" si="2"/>
        <v>203595</v>
      </c>
      <c r="E35" s="6"/>
      <c r="F35" s="20">
        <f t="shared" ref="F35:G35" si="3">SUM(F2:F32)</f>
        <v>84530</v>
      </c>
      <c r="G35" s="20">
        <f t="shared" si="3"/>
        <v>75179</v>
      </c>
      <c r="H35" s="20">
        <f>SUM(H3:H32)</f>
        <v>61390</v>
      </c>
      <c r="I35" s="6"/>
      <c r="J35" s="20">
        <f>SUM(J2:J32)</f>
        <v>0</v>
      </c>
      <c r="K35" s="6"/>
      <c r="L35" s="20">
        <f>SUM(L2:L32)</f>
        <v>0</v>
      </c>
      <c r="M35" s="20">
        <f>D35-F35-G35-H35-J35-L35</f>
        <v>-17504</v>
      </c>
      <c r="N35" s="6"/>
      <c r="O35" s="6"/>
      <c r="P35" s="6"/>
      <c r="Q35" s="6"/>
      <c r="R35" s="6"/>
      <c r="S35" s="6"/>
      <c r="T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21">
        <f>F35+G35+H35+J35+L35</f>
        <v>221099</v>
      </c>
      <c r="M37" s="6"/>
      <c r="N37" s="6"/>
      <c r="O37" s="6"/>
      <c r="P37" s="6"/>
      <c r="Q37" s="6"/>
      <c r="R37" s="6"/>
      <c r="S37" s="6"/>
      <c r="T37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4" t="s">
        <v>7</v>
      </c>
      <c r="L1" s="4" t="s">
        <v>9</v>
      </c>
      <c r="M1" s="4" t="s">
        <v>10</v>
      </c>
      <c r="N1" s="6"/>
      <c r="O1" s="6"/>
      <c r="P1" s="6" t="s">
        <v>26</v>
      </c>
      <c r="Q1" s="6"/>
      <c r="R1" s="6"/>
      <c r="S1" s="6"/>
    </row>
    <row r="2">
      <c r="A2" s="8">
        <v>45931.0</v>
      </c>
      <c r="B2" s="9">
        <v>8940.0</v>
      </c>
      <c r="C2" s="9">
        <v>0.0</v>
      </c>
      <c r="D2" s="11">
        <f t="shared" ref="D2:D32" si="1">B2+C2</f>
        <v>8940</v>
      </c>
      <c r="E2" s="3"/>
      <c r="F2" s="9">
        <v>84530.0</v>
      </c>
      <c r="G2" s="9">
        <v>2000.0</v>
      </c>
      <c r="H2" s="10"/>
      <c r="I2" s="13"/>
      <c r="J2" s="10"/>
      <c r="K2" s="13"/>
      <c r="L2" s="10"/>
      <c r="M2" s="10"/>
      <c r="N2" s="6"/>
      <c r="O2" s="6"/>
      <c r="P2" s="6" t="s">
        <v>13</v>
      </c>
      <c r="Q2" s="6" t="s">
        <v>12</v>
      </c>
      <c r="R2" s="6" t="s">
        <v>13</v>
      </c>
      <c r="S2" s="6" t="s">
        <v>14</v>
      </c>
    </row>
    <row r="3">
      <c r="A3" s="8">
        <v>45932.0</v>
      </c>
      <c r="B3" s="9">
        <v>7855.0</v>
      </c>
      <c r="C3" s="9">
        <v>2504.0</v>
      </c>
      <c r="D3" s="11">
        <f t="shared" si="1"/>
        <v>10359</v>
      </c>
      <c r="E3" s="3"/>
      <c r="F3" s="10"/>
      <c r="G3" s="14">
        <v>80424.0</v>
      </c>
      <c r="H3" s="9">
        <v>15000.0</v>
      </c>
      <c r="I3" s="12" t="s">
        <v>46</v>
      </c>
      <c r="J3" s="10"/>
      <c r="K3" s="13"/>
      <c r="L3" s="10"/>
      <c r="M3" s="10"/>
      <c r="N3" s="15" t="s">
        <v>2</v>
      </c>
      <c r="O3" s="6"/>
      <c r="P3" s="7">
        <v>256180.0</v>
      </c>
      <c r="Q3" s="7">
        <v>256353.0</v>
      </c>
      <c r="R3" s="7">
        <v>129554.0</v>
      </c>
      <c r="S3" s="7">
        <v>129726.0</v>
      </c>
    </row>
    <row r="4">
      <c r="A4" s="8">
        <v>45933.0</v>
      </c>
      <c r="B4" s="9">
        <v>9760.0</v>
      </c>
      <c r="C4" s="9">
        <v>1610.0</v>
      </c>
      <c r="D4" s="11">
        <f t="shared" si="1"/>
        <v>11370</v>
      </c>
      <c r="E4" s="3"/>
      <c r="F4" s="9">
        <v>9135.0</v>
      </c>
      <c r="G4" s="10"/>
      <c r="H4" s="9">
        <v>10000.0</v>
      </c>
      <c r="I4" s="12" t="s">
        <v>18</v>
      </c>
      <c r="J4" s="10"/>
      <c r="K4" s="13"/>
      <c r="L4" s="10"/>
      <c r="M4" s="10"/>
      <c r="N4" s="16" t="s">
        <v>17</v>
      </c>
      <c r="O4" s="6"/>
      <c r="P4" s="7">
        <v>256378.0</v>
      </c>
      <c r="Q4" s="7">
        <v>256548.0</v>
      </c>
      <c r="R4" s="7">
        <v>129752.0</v>
      </c>
      <c r="S4" s="7">
        <v>129921.0</v>
      </c>
    </row>
    <row r="5">
      <c r="A5" s="8">
        <v>45934.0</v>
      </c>
      <c r="B5" s="9">
        <v>10115.0</v>
      </c>
      <c r="C5" s="9">
        <v>630.0</v>
      </c>
      <c r="D5" s="11">
        <f t="shared" si="1"/>
        <v>10745</v>
      </c>
      <c r="E5" s="3"/>
      <c r="F5" s="10"/>
      <c r="G5" s="10"/>
      <c r="H5" s="10"/>
      <c r="I5" s="13"/>
      <c r="J5" s="10"/>
      <c r="K5" s="13"/>
      <c r="L5" s="10"/>
      <c r="M5" s="10"/>
      <c r="N5" s="17" t="s">
        <v>19</v>
      </c>
      <c r="O5" s="6"/>
      <c r="P5" s="7">
        <v>256761.0</v>
      </c>
      <c r="Q5" s="7">
        <v>256594.0</v>
      </c>
      <c r="R5" s="7">
        <v>130134.0</v>
      </c>
      <c r="S5" s="7">
        <v>129967.0</v>
      </c>
    </row>
    <row r="6">
      <c r="A6" s="8">
        <v>45935.0</v>
      </c>
      <c r="B6" s="9">
        <v>7520.0</v>
      </c>
      <c r="C6" s="9">
        <v>270.0</v>
      </c>
      <c r="D6" s="11">
        <f t="shared" si="1"/>
        <v>7790</v>
      </c>
      <c r="E6" s="3"/>
      <c r="F6" s="10"/>
      <c r="G6" s="10"/>
      <c r="H6" s="10"/>
      <c r="I6" s="13"/>
      <c r="J6" s="10"/>
      <c r="K6" s="13"/>
      <c r="L6" s="10"/>
      <c r="M6" s="10"/>
      <c r="N6" s="6"/>
      <c r="O6" s="6"/>
      <c r="P6" s="7">
        <v>256788.0</v>
      </c>
      <c r="Q6" s="7">
        <v>256999.0</v>
      </c>
      <c r="R6" s="7">
        <v>130160.0</v>
      </c>
      <c r="S6" s="7">
        <v>130371.0</v>
      </c>
    </row>
    <row r="7">
      <c r="A7" s="8">
        <v>45936.0</v>
      </c>
      <c r="B7" s="9">
        <v>11300.0</v>
      </c>
      <c r="C7" s="9">
        <v>1190.0</v>
      </c>
      <c r="D7" s="11">
        <f t="shared" si="1"/>
        <v>12490</v>
      </c>
      <c r="E7" s="3"/>
      <c r="F7" s="10"/>
      <c r="G7" s="10"/>
      <c r="H7" s="10"/>
      <c r="I7" s="13"/>
      <c r="J7" s="10"/>
      <c r="K7" s="13"/>
      <c r="L7" s="10"/>
      <c r="M7" s="10"/>
      <c r="N7" s="6"/>
      <c r="O7" s="6"/>
      <c r="P7" s="7">
        <v>257022.0</v>
      </c>
      <c r="Q7" s="7">
        <v>257224.0</v>
      </c>
      <c r="R7" s="7">
        <v>130394.0</v>
      </c>
      <c r="S7" s="7">
        <v>130596.0</v>
      </c>
    </row>
    <row r="8">
      <c r="A8" s="8">
        <v>45937.0</v>
      </c>
      <c r="B8" s="9">
        <v>4510.0</v>
      </c>
      <c r="C8" s="9">
        <v>1120.0</v>
      </c>
      <c r="D8" s="11">
        <f t="shared" si="1"/>
        <v>5630</v>
      </c>
      <c r="E8" s="3"/>
      <c r="F8" s="10"/>
      <c r="G8" s="10"/>
      <c r="H8" s="10"/>
      <c r="I8" s="13"/>
      <c r="J8" s="10"/>
      <c r="K8" s="13"/>
      <c r="L8" s="10"/>
      <c r="M8" s="10"/>
      <c r="N8" s="6"/>
      <c r="O8" s="6"/>
      <c r="P8" s="7">
        <v>257248.0</v>
      </c>
      <c r="Q8" s="7">
        <v>257458.0</v>
      </c>
      <c r="R8" s="7">
        <v>130620.0</v>
      </c>
      <c r="S8" s="7">
        <v>130830.0</v>
      </c>
    </row>
    <row r="9">
      <c r="A9" s="8">
        <v>45938.0</v>
      </c>
      <c r="B9" s="9">
        <v>7490.0</v>
      </c>
      <c r="C9" s="9">
        <v>3910.0</v>
      </c>
      <c r="D9" s="11">
        <f t="shared" si="1"/>
        <v>11400</v>
      </c>
      <c r="E9" s="3"/>
      <c r="F9" s="10"/>
      <c r="G9" s="10"/>
      <c r="H9" s="10"/>
      <c r="I9" s="13"/>
      <c r="J9" s="10"/>
      <c r="K9" s="13"/>
      <c r="L9" s="10"/>
      <c r="M9" s="10"/>
      <c r="N9" s="6"/>
      <c r="O9" s="6"/>
      <c r="P9" s="7">
        <v>257484.0</v>
      </c>
      <c r="Q9" s="7">
        <v>257730.0</v>
      </c>
      <c r="R9" s="7">
        <v>130855.0</v>
      </c>
      <c r="S9" s="7">
        <v>131100.0</v>
      </c>
    </row>
    <row r="10">
      <c r="A10" s="8">
        <v>45939.0</v>
      </c>
      <c r="B10" s="9">
        <v>27984.0</v>
      </c>
      <c r="C10" s="9">
        <v>5016.0</v>
      </c>
      <c r="D10" s="11">
        <f t="shared" si="1"/>
        <v>33000</v>
      </c>
      <c r="E10" s="3"/>
      <c r="F10" s="10"/>
      <c r="G10" s="10"/>
      <c r="H10" s="10"/>
      <c r="I10" s="13"/>
      <c r="J10" s="10"/>
      <c r="K10" s="13"/>
      <c r="L10" s="10"/>
      <c r="M10" s="10"/>
      <c r="N10" s="6"/>
      <c r="O10" s="6"/>
      <c r="P10" s="7">
        <v>257758.0</v>
      </c>
      <c r="Q10" s="7">
        <v>257960.0</v>
      </c>
      <c r="R10" s="7">
        <v>131128.0</v>
      </c>
      <c r="S10" s="7">
        <v>131329.0</v>
      </c>
    </row>
    <row r="11">
      <c r="A11" s="8">
        <v>45940.0</v>
      </c>
      <c r="B11" s="9">
        <v>10070.0</v>
      </c>
      <c r="C11" s="9">
        <v>940.0</v>
      </c>
      <c r="D11" s="11">
        <f t="shared" si="1"/>
        <v>11010</v>
      </c>
      <c r="E11" s="3"/>
      <c r="F11" s="10"/>
      <c r="G11" s="10"/>
      <c r="H11" s="10"/>
      <c r="I11" s="13"/>
      <c r="J11" s="10"/>
      <c r="K11" s="13"/>
      <c r="L11" s="10"/>
      <c r="M11" s="10"/>
      <c r="N11" s="6"/>
      <c r="O11" s="6"/>
      <c r="P11" s="7">
        <v>257991.0</v>
      </c>
      <c r="Q11" s="7">
        <v>258248.0</v>
      </c>
      <c r="R11" s="7">
        <v>131360.0</v>
      </c>
      <c r="S11" s="7">
        <v>131616.0</v>
      </c>
    </row>
    <row r="12">
      <c r="A12" s="8">
        <v>45941.0</v>
      </c>
      <c r="B12" s="9">
        <v>5162.0</v>
      </c>
      <c r="C12" s="9">
        <v>260.0</v>
      </c>
      <c r="D12" s="11">
        <f t="shared" si="1"/>
        <v>5422</v>
      </c>
      <c r="E12" s="3"/>
      <c r="F12" s="10"/>
      <c r="G12" s="10"/>
      <c r="H12" s="10"/>
      <c r="I12" s="13"/>
      <c r="J12" s="10"/>
      <c r="K12" s="13"/>
      <c r="L12" s="10"/>
      <c r="M12" s="10"/>
      <c r="N12" s="6"/>
      <c r="O12" s="6"/>
      <c r="P12" s="7">
        <v>258288.0</v>
      </c>
      <c r="Q12" s="7">
        <v>258460.0</v>
      </c>
      <c r="R12" s="7">
        <v>131656.0</v>
      </c>
      <c r="S12" s="7">
        <v>131828.0</v>
      </c>
    </row>
    <row r="13">
      <c r="A13" s="8">
        <v>45942.0</v>
      </c>
      <c r="B13" s="9">
        <v>7329.0</v>
      </c>
      <c r="C13" s="9">
        <v>1130.0</v>
      </c>
      <c r="D13" s="11">
        <f t="shared" si="1"/>
        <v>8459</v>
      </c>
      <c r="E13" s="3"/>
      <c r="F13" s="10"/>
      <c r="G13" s="10"/>
      <c r="H13" s="10"/>
      <c r="I13" s="13"/>
      <c r="J13" s="10"/>
      <c r="K13" s="13"/>
      <c r="L13" s="10"/>
      <c r="M13" s="10"/>
      <c r="N13" s="6"/>
      <c r="O13" s="6"/>
      <c r="P13" s="7">
        <v>258506.0</v>
      </c>
      <c r="Q13" s="7">
        <v>258658.0</v>
      </c>
      <c r="R13" s="7">
        <v>131874.0</v>
      </c>
      <c r="S13" s="7">
        <v>132025.0</v>
      </c>
    </row>
    <row r="14">
      <c r="A14" s="8">
        <v>45943.0</v>
      </c>
      <c r="B14" s="9">
        <v>7755.0</v>
      </c>
      <c r="C14" s="9">
        <v>1880.0</v>
      </c>
      <c r="D14" s="11">
        <f t="shared" si="1"/>
        <v>9635</v>
      </c>
      <c r="E14" s="3"/>
      <c r="F14" s="10"/>
      <c r="G14" s="10"/>
      <c r="H14" s="10"/>
      <c r="I14" s="13"/>
      <c r="J14" s="10"/>
      <c r="K14" s="13"/>
      <c r="L14" s="10"/>
      <c r="M14" s="10"/>
      <c r="N14" s="6"/>
      <c r="O14" s="6"/>
      <c r="P14" s="7">
        <v>258683.0</v>
      </c>
      <c r="Q14" s="7">
        <v>258869.0</v>
      </c>
      <c r="R14" s="7">
        <v>132050.0</v>
      </c>
      <c r="S14" s="7">
        <v>132236.0</v>
      </c>
    </row>
    <row r="15">
      <c r="A15" s="8">
        <v>45944.0</v>
      </c>
      <c r="B15" s="9">
        <v>5775.0</v>
      </c>
      <c r="C15" s="9">
        <v>3490.0</v>
      </c>
      <c r="D15" s="11">
        <f t="shared" si="1"/>
        <v>9265</v>
      </c>
      <c r="E15" s="3"/>
      <c r="F15" s="10"/>
      <c r="G15" s="10"/>
      <c r="H15" s="10"/>
      <c r="I15" s="13"/>
      <c r="J15" s="10"/>
      <c r="K15" s="13"/>
      <c r="L15" s="10"/>
      <c r="M15" s="10"/>
      <c r="N15" s="6"/>
      <c r="O15" s="6"/>
      <c r="P15" s="7">
        <v>258894.0</v>
      </c>
      <c r="Q15" s="7">
        <v>259103.0</v>
      </c>
      <c r="R15" s="7">
        <v>132261.0</v>
      </c>
      <c r="S15" s="7">
        <v>132470.0</v>
      </c>
    </row>
    <row r="16">
      <c r="A16" s="8">
        <v>45945.0</v>
      </c>
      <c r="B16" s="9">
        <v>5260.0</v>
      </c>
      <c r="C16" s="9">
        <v>2605.0</v>
      </c>
      <c r="D16" s="11">
        <f t="shared" si="1"/>
        <v>7865</v>
      </c>
      <c r="E16" s="3"/>
      <c r="F16" s="10"/>
      <c r="G16" s="10"/>
      <c r="H16" s="10"/>
      <c r="I16" s="13"/>
      <c r="J16" s="10"/>
      <c r="K16" s="13"/>
      <c r="L16" s="10"/>
      <c r="M16" s="10"/>
      <c r="N16" s="6"/>
      <c r="O16" s="6"/>
      <c r="P16" s="7">
        <v>259133.0</v>
      </c>
      <c r="Q16" s="7">
        <v>259350.0</v>
      </c>
      <c r="R16" s="7">
        <v>132499.0</v>
      </c>
      <c r="S16" s="7">
        <v>132715.0</v>
      </c>
    </row>
    <row r="17">
      <c r="A17" s="8">
        <v>45946.0</v>
      </c>
      <c r="B17" s="9">
        <v>8370.0</v>
      </c>
      <c r="C17" s="9">
        <v>790.0</v>
      </c>
      <c r="D17" s="11">
        <f t="shared" si="1"/>
        <v>9160</v>
      </c>
      <c r="E17" s="3"/>
      <c r="F17" s="10"/>
      <c r="G17" s="10"/>
      <c r="H17" s="10"/>
      <c r="I17" s="13"/>
      <c r="J17" s="10"/>
      <c r="K17" s="13"/>
      <c r="L17" s="10"/>
      <c r="M17" s="10"/>
      <c r="N17" s="6"/>
      <c r="O17" s="6"/>
      <c r="P17" s="7">
        <v>259378.0</v>
      </c>
      <c r="Q17" s="7">
        <v>259600.0</v>
      </c>
      <c r="R17" s="7">
        <v>132743.0</v>
      </c>
      <c r="S17" s="7">
        <v>132964.0</v>
      </c>
    </row>
    <row r="18">
      <c r="A18" s="8">
        <v>45947.0</v>
      </c>
      <c r="B18" s="9">
        <v>4160.0</v>
      </c>
      <c r="C18" s="9">
        <v>680.0</v>
      </c>
      <c r="D18" s="11">
        <f t="shared" si="1"/>
        <v>4840</v>
      </c>
      <c r="E18" s="3"/>
      <c r="F18" s="10"/>
      <c r="G18" s="10"/>
      <c r="H18" s="10"/>
      <c r="I18" s="13"/>
      <c r="J18" s="10"/>
      <c r="K18" s="13"/>
      <c r="L18" s="10"/>
      <c r="M18" s="10"/>
      <c r="N18" s="6"/>
      <c r="O18" s="6"/>
      <c r="P18" s="7">
        <v>259642.0</v>
      </c>
      <c r="Q18" s="7">
        <v>259827.0</v>
      </c>
      <c r="R18" s="7">
        <v>133191.0</v>
      </c>
      <c r="S18" s="7">
        <v>133007.0</v>
      </c>
    </row>
    <row r="19">
      <c r="A19" s="8">
        <v>45948.0</v>
      </c>
      <c r="B19" s="9">
        <v>2900.0</v>
      </c>
      <c r="C19" s="9">
        <v>390.0</v>
      </c>
      <c r="D19" s="11">
        <f t="shared" si="1"/>
        <v>3290</v>
      </c>
      <c r="E19" s="3"/>
      <c r="F19" s="10"/>
      <c r="G19" s="10"/>
      <c r="H19" s="10"/>
      <c r="I19" s="13"/>
      <c r="J19" s="10"/>
      <c r="K19" s="13"/>
      <c r="L19" s="10"/>
      <c r="M19" s="10"/>
      <c r="N19" s="6"/>
      <c r="O19" s="6"/>
      <c r="P19" s="7">
        <v>259879.0</v>
      </c>
      <c r="Q19" s="7">
        <v>260077.0</v>
      </c>
      <c r="R19" s="7">
        <v>133243.0</v>
      </c>
      <c r="S19" s="7">
        <v>133440.0</v>
      </c>
    </row>
    <row r="20">
      <c r="A20" s="8">
        <v>45949.0</v>
      </c>
      <c r="B20" s="9">
        <v>5615.0</v>
      </c>
      <c r="C20" s="9">
        <v>1750.0</v>
      </c>
      <c r="D20" s="11">
        <f t="shared" si="1"/>
        <v>7365</v>
      </c>
      <c r="E20" s="3"/>
      <c r="F20" s="10"/>
      <c r="G20" s="10"/>
      <c r="H20" s="10"/>
      <c r="I20" s="13"/>
      <c r="J20" s="10"/>
      <c r="K20" s="13"/>
      <c r="L20" s="10"/>
      <c r="M20" s="10"/>
      <c r="N20" s="6"/>
      <c r="O20" s="6"/>
      <c r="P20" s="7">
        <v>260102.0</v>
      </c>
      <c r="Q20" s="7">
        <v>260278.0</v>
      </c>
      <c r="R20" s="7">
        <v>133465.0</v>
      </c>
      <c r="S20" s="7">
        <v>133641.0</v>
      </c>
    </row>
    <row r="21">
      <c r="A21" s="8">
        <v>45950.0</v>
      </c>
      <c r="B21" s="9">
        <v>6880.0</v>
      </c>
      <c r="C21" s="9">
        <v>2720.0</v>
      </c>
      <c r="D21" s="11">
        <f t="shared" si="1"/>
        <v>9600</v>
      </c>
      <c r="E21" s="3"/>
      <c r="F21" s="10"/>
      <c r="G21" s="10"/>
      <c r="H21" s="10"/>
      <c r="I21" s="13"/>
      <c r="J21" s="10"/>
      <c r="K21" s="13"/>
      <c r="L21" s="10"/>
      <c r="M21" s="10"/>
      <c r="N21" s="6"/>
      <c r="O21" s="6"/>
      <c r="P21" s="7">
        <v>260310.0</v>
      </c>
      <c r="Q21" s="7">
        <v>260552.0</v>
      </c>
      <c r="R21" s="7">
        <v>133672.0</v>
      </c>
      <c r="S21" s="7">
        <v>133914.0</v>
      </c>
    </row>
    <row r="22">
      <c r="A22" s="8">
        <v>45951.0</v>
      </c>
      <c r="B22" s="9">
        <v>11600.0</v>
      </c>
      <c r="C22" s="9">
        <v>1880.0</v>
      </c>
      <c r="D22" s="11">
        <f t="shared" si="1"/>
        <v>13480</v>
      </c>
      <c r="E22" s="3"/>
      <c r="F22" s="10"/>
      <c r="G22" s="10"/>
      <c r="H22" s="10"/>
      <c r="I22" s="13"/>
      <c r="J22" s="10"/>
      <c r="K22" s="13"/>
      <c r="L22" s="10"/>
      <c r="M22" s="10"/>
      <c r="N22" s="6"/>
      <c r="O22" s="6"/>
      <c r="P22" s="7">
        <v>260577.0</v>
      </c>
      <c r="Q22" s="7">
        <v>260860.0</v>
      </c>
      <c r="R22" s="7">
        <v>133939.0</v>
      </c>
      <c r="S22" s="7">
        <v>134221.0</v>
      </c>
    </row>
    <row r="23">
      <c r="A23" s="8">
        <v>45952.0</v>
      </c>
      <c r="B23" s="9">
        <v>5322.0</v>
      </c>
      <c r="C23" s="9">
        <v>320.0</v>
      </c>
      <c r="D23" s="11">
        <f t="shared" si="1"/>
        <v>5642</v>
      </c>
      <c r="E23" s="3"/>
      <c r="F23" s="10"/>
      <c r="G23" s="10"/>
      <c r="H23" s="10"/>
      <c r="I23" s="13"/>
      <c r="J23" s="10"/>
      <c r="K23" s="13"/>
      <c r="L23" s="10"/>
      <c r="M23" s="10"/>
      <c r="N23" s="6"/>
      <c r="O23" s="6"/>
      <c r="P23" s="7">
        <v>260886.0</v>
      </c>
      <c r="Q23" s="7">
        <v>261220.0</v>
      </c>
      <c r="R23" s="7">
        <v>134247.0</v>
      </c>
      <c r="S23" s="7">
        <v>134580.0</v>
      </c>
    </row>
    <row r="24">
      <c r="A24" s="8">
        <v>45953.0</v>
      </c>
      <c r="B24" s="9">
        <v>5830.0</v>
      </c>
      <c r="C24" s="9">
        <v>260.0</v>
      </c>
      <c r="D24" s="11">
        <f t="shared" si="1"/>
        <v>6090</v>
      </c>
      <c r="E24" s="3"/>
      <c r="F24" s="10"/>
      <c r="G24" s="10"/>
      <c r="H24" s="10"/>
      <c r="I24" s="13"/>
      <c r="J24" s="10"/>
      <c r="K24" s="13"/>
      <c r="L24" s="10"/>
      <c r="M24" s="10"/>
      <c r="N24" s="6"/>
      <c r="O24" s="6"/>
      <c r="P24" s="7">
        <v>261252.0</v>
      </c>
      <c r="Q24" s="7">
        <v>261513.0</v>
      </c>
      <c r="R24" s="7">
        <v>134611.0</v>
      </c>
      <c r="S24" s="7">
        <v>134872.0</v>
      </c>
    </row>
    <row r="25">
      <c r="A25" s="8">
        <v>45954.0</v>
      </c>
      <c r="B25" s="9">
        <v>2630.0</v>
      </c>
      <c r="C25" s="9">
        <v>860.0</v>
      </c>
      <c r="D25" s="11">
        <f t="shared" si="1"/>
        <v>3490</v>
      </c>
      <c r="E25" s="3"/>
      <c r="F25" s="10"/>
      <c r="G25" s="10"/>
      <c r="H25" s="10"/>
      <c r="I25" s="13"/>
      <c r="J25" s="10"/>
      <c r="K25" s="13"/>
      <c r="L25" s="10"/>
      <c r="M25" s="10"/>
      <c r="N25" s="6"/>
      <c r="O25" s="6"/>
      <c r="P25" s="7">
        <v>261558.0</v>
      </c>
      <c r="Q25" s="7">
        <v>261797.0</v>
      </c>
      <c r="R25" s="7">
        <v>134916.0</v>
      </c>
      <c r="S25" s="7">
        <v>135155.0</v>
      </c>
    </row>
    <row r="26">
      <c r="A26" s="8">
        <v>45955.0</v>
      </c>
      <c r="B26" s="9">
        <v>9115.0</v>
      </c>
      <c r="C26" s="9">
        <v>350.0</v>
      </c>
      <c r="D26" s="11">
        <f t="shared" si="1"/>
        <v>9465</v>
      </c>
      <c r="E26" s="3"/>
      <c r="F26" s="10"/>
      <c r="G26" s="10"/>
      <c r="H26" s="10"/>
      <c r="I26" s="13"/>
      <c r="J26" s="10"/>
      <c r="K26" s="13"/>
      <c r="L26" s="10"/>
      <c r="M26" s="10"/>
      <c r="N26" s="6"/>
      <c r="O26" s="6"/>
      <c r="P26" s="6"/>
      <c r="Q26" s="6"/>
      <c r="R26" s="6"/>
      <c r="S26" s="6"/>
    </row>
    <row r="27">
      <c r="A27" s="8">
        <v>45956.0</v>
      </c>
      <c r="B27" s="9">
        <v>14255.0</v>
      </c>
      <c r="C27" s="9">
        <v>2790.0</v>
      </c>
      <c r="D27" s="11">
        <f t="shared" si="1"/>
        <v>17045</v>
      </c>
      <c r="E27" s="3"/>
      <c r="F27" s="10"/>
      <c r="G27" s="10"/>
      <c r="H27" s="10"/>
      <c r="I27" s="13"/>
      <c r="J27" s="10"/>
      <c r="K27" s="13"/>
      <c r="L27" s="10"/>
      <c r="M27" s="10"/>
      <c r="N27" s="6"/>
      <c r="O27" s="6"/>
      <c r="P27" s="6"/>
      <c r="Q27" s="6"/>
      <c r="R27" s="6"/>
      <c r="S27" s="6"/>
    </row>
    <row r="28">
      <c r="A28" s="8">
        <v>45957.0</v>
      </c>
      <c r="B28" s="9">
        <v>9260.0</v>
      </c>
      <c r="C28" s="9">
        <v>2390.0</v>
      </c>
      <c r="D28" s="11">
        <f t="shared" si="1"/>
        <v>11650</v>
      </c>
      <c r="E28" s="3"/>
      <c r="F28" s="10"/>
      <c r="G28" s="10"/>
      <c r="H28" s="10"/>
      <c r="I28" s="13"/>
      <c r="J28" s="10"/>
      <c r="K28" s="13"/>
      <c r="L28" s="10"/>
      <c r="M28" s="10"/>
      <c r="N28" s="6"/>
      <c r="O28" s="6"/>
      <c r="P28" s="6"/>
      <c r="Q28" s="6"/>
      <c r="R28" s="6"/>
      <c r="S28" s="6"/>
    </row>
    <row r="29">
      <c r="A29" s="8">
        <v>45958.0</v>
      </c>
      <c r="B29" s="9">
        <v>9220.0</v>
      </c>
      <c r="C29" s="9">
        <v>2480.0</v>
      </c>
      <c r="D29" s="11">
        <f t="shared" si="1"/>
        <v>11700</v>
      </c>
      <c r="E29" s="3"/>
      <c r="F29" s="10"/>
      <c r="G29" s="10"/>
      <c r="H29" s="10"/>
      <c r="I29" s="13"/>
      <c r="J29" s="10"/>
      <c r="K29" s="13"/>
      <c r="L29" s="10"/>
      <c r="M29" s="10"/>
      <c r="N29" s="6"/>
      <c r="O29" s="6"/>
      <c r="P29" s="6"/>
      <c r="Q29" s="6"/>
      <c r="R29" s="6"/>
      <c r="S29" s="6"/>
    </row>
    <row r="30">
      <c r="A30" s="8">
        <v>45959.0</v>
      </c>
      <c r="B30" s="9">
        <v>5755.0</v>
      </c>
      <c r="C30" s="9">
        <v>1965.0</v>
      </c>
      <c r="D30" s="11">
        <f t="shared" si="1"/>
        <v>7720</v>
      </c>
      <c r="E30" s="3"/>
      <c r="F30" s="10"/>
      <c r="G30" s="10"/>
      <c r="H30" s="10"/>
      <c r="I30" s="13"/>
      <c r="J30" s="10"/>
      <c r="K30" s="13"/>
      <c r="L30" s="10"/>
      <c r="M30" s="10"/>
      <c r="N30" s="6"/>
      <c r="O30" s="6"/>
      <c r="P30" s="6"/>
      <c r="Q30" s="6"/>
      <c r="R30" s="6"/>
      <c r="S30" s="6"/>
    </row>
    <row r="31">
      <c r="A31" s="8">
        <v>45960.0</v>
      </c>
      <c r="B31" s="9">
        <v>11350.0</v>
      </c>
      <c r="C31" s="9">
        <v>430.0</v>
      </c>
      <c r="D31" s="11">
        <f t="shared" si="1"/>
        <v>11780</v>
      </c>
      <c r="E31" s="3"/>
      <c r="F31" s="10"/>
      <c r="G31" s="10"/>
      <c r="H31" s="10"/>
      <c r="I31" s="13"/>
      <c r="J31" s="10"/>
      <c r="K31" s="13"/>
      <c r="L31" s="10"/>
      <c r="M31" s="10"/>
      <c r="N31" s="6"/>
      <c r="O31" s="6"/>
      <c r="P31" s="6"/>
      <c r="Q31" s="6"/>
      <c r="R31" s="6"/>
      <c r="S31" s="6"/>
    </row>
    <row r="32">
      <c r="A32" s="8">
        <v>45961.0</v>
      </c>
      <c r="B32" s="9">
        <v>9560.0</v>
      </c>
      <c r="C32" s="9">
        <v>1240.0</v>
      </c>
      <c r="D32" s="11">
        <f t="shared" si="1"/>
        <v>10800</v>
      </c>
      <c r="E32" s="3"/>
      <c r="F32" s="10"/>
      <c r="G32" s="10"/>
      <c r="H32" s="10"/>
      <c r="I32" s="13"/>
      <c r="J32" s="10"/>
      <c r="K32" s="13"/>
      <c r="L32" s="10"/>
      <c r="M32" s="10"/>
      <c r="N32" s="6"/>
      <c r="O32" s="6"/>
      <c r="P32" s="6"/>
      <c r="Q32" s="6"/>
      <c r="R32" s="6"/>
      <c r="S32" s="6"/>
    </row>
    <row r="33">
      <c r="A33" s="18"/>
      <c r="B33" s="10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>
      <c r="A34" s="6"/>
      <c r="B34" s="6"/>
      <c r="C34" s="6"/>
      <c r="D34" s="6"/>
      <c r="E34" s="6"/>
      <c r="F34" s="19">
        <f>F35*100/D35</f>
        <v>30.55984235</v>
      </c>
      <c r="G34" s="19">
        <f>G35*100/D35</f>
        <v>26.89226974</v>
      </c>
      <c r="H34" s="19">
        <f>H35*100/D35</f>
        <v>8.156686689</v>
      </c>
      <c r="I34" s="6"/>
      <c r="J34" s="19">
        <f>J35*100/D35</f>
        <v>0</v>
      </c>
      <c r="K34" s="6"/>
      <c r="L34" s="19" t="str">
        <f>L35*100/J35</f>
        <v>#DIV/0!</v>
      </c>
      <c r="M34" s="19">
        <f>M35*100/D35</f>
        <v>34.39120122</v>
      </c>
      <c r="N34" s="6"/>
      <c r="O34" s="6"/>
      <c r="P34" s="6"/>
      <c r="Q34" s="6"/>
      <c r="R34" s="6"/>
      <c r="S34" s="6"/>
    </row>
    <row r="35">
      <c r="A35" s="6"/>
      <c r="B35" s="20">
        <f t="shared" ref="B35:D35" si="2">SUM(B2:B32)</f>
        <v>258647</v>
      </c>
      <c r="C35" s="20">
        <f t="shared" si="2"/>
        <v>47850</v>
      </c>
      <c r="D35" s="20">
        <f t="shared" si="2"/>
        <v>306497</v>
      </c>
      <c r="E35" s="6"/>
      <c r="F35" s="20">
        <f t="shared" ref="F35:G35" si="3">SUM(F2:F32)</f>
        <v>93665</v>
      </c>
      <c r="G35" s="20">
        <f t="shared" si="3"/>
        <v>82424</v>
      </c>
      <c r="H35" s="20">
        <f>SUM(H3:H32)</f>
        <v>25000</v>
      </c>
      <c r="I35" s="6"/>
      <c r="J35" s="20">
        <f>SUM(J2:J32)</f>
        <v>0</v>
      </c>
      <c r="K35" s="6"/>
      <c r="L35" s="20">
        <f>SUM(L2:L32)</f>
        <v>0</v>
      </c>
      <c r="M35" s="20">
        <f>D35-F35-G35-H35-J35-L35</f>
        <v>105408</v>
      </c>
      <c r="N35" s="6"/>
      <c r="O35" s="6"/>
      <c r="P35" s="6"/>
      <c r="Q35" s="6"/>
      <c r="R35" s="6"/>
      <c r="S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21">
        <f>F35+G35+H35+J35+L35</f>
        <v>201089</v>
      </c>
      <c r="M37" s="6"/>
      <c r="N37" s="6"/>
      <c r="O37" s="6"/>
      <c r="P37" s="6"/>
      <c r="Q37" s="6"/>
      <c r="R37" s="6"/>
      <c r="S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</sheetData>
  <drawing r:id="rId1"/>
</worksheet>
</file>