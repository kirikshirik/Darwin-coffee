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Пользователь\Desktop\"/>
    </mc:Choice>
  </mc:AlternateContent>
  <bookViews>
    <workbookView xWindow="0" yWindow="0" windowWidth="21600" windowHeight="9285"/>
  </bookViews>
  <sheets>
    <sheet name="Лист1" sheetId="1" r:id="rId1"/>
  </sheets>
  <calcPr calcId="162913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1" l="1"/>
  <c r="I26" i="1"/>
  <c r="G26" i="1"/>
  <c r="F26" i="1"/>
  <c r="E26" i="1"/>
  <c r="D26" i="1"/>
  <c r="C26" i="1"/>
  <c r="B26" i="1"/>
  <c r="M25" i="1"/>
  <c r="N25" i="1" s="1"/>
  <c r="M24" i="1"/>
  <c r="N24" i="1" s="1"/>
  <c r="M23" i="1"/>
  <c r="N23" i="1" s="1"/>
  <c r="M22" i="1"/>
  <c r="N22" i="1" s="1"/>
  <c r="M21" i="1"/>
  <c r="N21" i="1" s="1"/>
  <c r="M20" i="1"/>
  <c r="N20" i="1" s="1"/>
  <c r="M19" i="1"/>
  <c r="N19" i="1" s="1"/>
  <c r="M18" i="1"/>
  <c r="N18" i="1" s="1"/>
  <c r="M17" i="1"/>
  <c r="N17" i="1" s="1"/>
  <c r="M16" i="1"/>
  <c r="N16" i="1" s="1"/>
  <c r="M15" i="1"/>
  <c r="N15" i="1" s="1"/>
  <c r="M14" i="1"/>
  <c r="N14" i="1" s="1"/>
  <c r="E8" i="1"/>
  <c r="N27" i="1" l="1"/>
  <c r="N26" i="1"/>
  <c r="M27" i="1"/>
  <c r="M26" i="1"/>
</calcChain>
</file>

<file path=xl/sharedStrings.xml><?xml version="1.0" encoding="utf-8"?>
<sst xmlns="http://schemas.openxmlformats.org/spreadsheetml/2006/main" count="34" uniqueCount="34">
  <si>
    <t>Финансовые показатели бизнеса</t>
  </si>
  <si>
    <t>Стоимость бизнеса</t>
  </si>
  <si>
    <t>Стоимость оборудования</t>
  </si>
  <si>
    <t>Стоимость товарного остатка</t>
  </si>
  <si>
    <t>Средняя чистая прибыль за 1 год</t>
  </si>
  <si>
    <t>Окупаемость бизнеса (месяцев)</t>
  </si>
  <si>
    <t>Месяц</t>
  </si>
  <si>
    <t>Выручка</t>
  </si>
  <si>
    <t>Итого затраты</t>
  </si>
  <si>
    <t>Прибыль</t>
  </si>
  <si>
    <t>Аренда</t>
  </si>
  <si>
    <t>Коммунальные</t>
  </si>
  <si>
    <t>Затраты на персонал</t>
  </si>
  <si>
    <t>Налоги</t>
  </si>
  <si>
    <t>Маркетинг и реклама</t>
  </si>
  <si>
    <t>Эквайринг, QR комиссия банка</t>
  </si>
  <si>
    <t>Программное обеспечение (CRM, ERP, ОФД  и т.п.</t>
  </si>
  <si>
    <t>Телефония, интернет, охрана, пожарники</t>
  </si>
  <si>
    <t>Прочее (канцелярия, банковское обсл. и т.д.)</t>
  </si>
  <si>
    <t>Амортизация и ремонт оборудования</t>
  </si>
  <si>
    <t>Июнь 25</t>
  </si>
  <si>
    <t>Июль 25</t>
  </si>
  <si>
    <t>Август 25</t>
  </si>
  <si>
    <t>Сентябрь 25</t>
  </si>
  <si>
    <t>Октябрь 25</t>
  </si>
  <si>
    <t>Ноябрь 25</t>
  </si>
  <si>
    <t>Декабрь 25</t>
  </si>
  <si>
    <t>Январь 26</t>
  </si>
  <si>
    <t>Февраль 26</t>
  </si>
  <si>
    <t>Март 26</t>
  </si>
  <si>
    <t>Апрель 26</t>
  </si>
  <si>
    <t>Май 26</t>
  </si>
  <si>
    <t>Сумма за период 12 мес</t>
  </si>
  <si>
    <t>Среднее за период 12 мес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</si>
</sst>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_ "/>
  </numFmts>
  <fonts count="15">
    <font>
      <sz val="11"/>
      <color theme="1"/>
      <name val="Calibri"/>
      <charset val="134"/>
      <scheme val="minor"/>
    </font>
    <font>
      <sz val="23"/>
      <color theme="1"/>
      <name val="Times New Roman"/>
      <charset val="134"/>
    </font>
    <font>
      <sz val="10"/>
      <name val="Calibri"/>
      <charset val="134"/>
      <scheme val="minor"/>
    </font>
    <font>
      <i/>
      <sz val="12"/>
      <color theme="1"/>
      <name val="Times New Roman"/>
      <charset val="134"/>
    </font>
    <font>
      <sz val="10"/>
      <color rgb="FF000000"/>
      <name val="Calibri"/>
      <charset val="134"/>
      <scheme val="minor"/>
    </font>
    <font>
      <sz val="12"/>
      <color theme="1"/>
      <name val="Calibri"/>
      <charset val="134"/>
    </font>
    <font>
      <sz val="12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Calibri"/>
      <charset val="134"/>
    </font>
    <font>
      <sz val="10"/>
      <color theme="1"/>
      <name val="Arial"/>
      <charset val="134"/>
    </font>
    <font>
      <sz val="10"/>
      <color theme="1"/>
      <name val="Calibri"/>
      <charset val="134"/>
    </font>
    <font>
      <sz val="10"/>
      <color rgb="FF000000"/>
      <name val="Arial"/>
      <charset val="134"/>
    </font>
    <font>
      <sz val="11"/>
      <color theme="1"/>
      <name val="Arial"/>
      <charset val="134"/>
    </font>
    <font>
      <b/>
      <sz val="11"/>
      <color theme="1"/>
      <name val="Calibri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DAF1F3"/>
        <bgColor rgb="FFDAF1F3"/>
      </patternFill>
    </fill>
    <fill>
      <patternFill patternType="solid">
        <fgColor rgb="FFFFFFFF"/>
        <bgColor rgb="FFFFFFFF"/>
      </patternFill>
    </fill>
    <fill>
      <patternFill patternType="solid">
        <fgColor theme="5" tint="0.79998168889431442"/>
        <bgColor rgb="FFFEF1C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5" tint="0.79995117038483843"/>
        <bgColor rgb="FFCCFFFF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79995117038483843"/>
        <bgColor rgb="FFFEF1CC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0" fillId="2" borderId="0" xfId="0" applyFill="1">
      <alignment vertical="center"/>
    </xf>
    <xf numFmtId="0" fontId="5" fillId="4" borderId="0" xfId="0" applyFont="1" applyFill="1" applyBorder="1" applyAlignment="1"/>
    <xf numFmtId="0" fontId="5" fillId="7" borderId="4" xfId="0" applyFont="1" applyFill="1" applyBorder="1" applyAlignment="1"/>
    <xf numFmtId="0" fontId="0" fillId="0" borderId="0" xfId="0" applyFill="1" applyAlignment="1">
      <alignment vertical="center"/>
    </xf>
    <xf numFmtId="0" fontId="7" fillId="0" borderId="0" xfId="0" applyFont="1" applyFill="1" applyBorder="1" applyAlignment="1" applyProtection="1">
      <alignment horizontal="center" wrapText="1"/>
    </xf>
    <xf numFmtId="0" fontId="7" fillId="0" borderId="0" xfId="0" applyFont="1" applyFill="1" applyBorder="1" applyAlignment="1">
      <alignment horizontal="center" vertical="center"/>
    </xf>
    <xf numFmtId="0" fontId="7" fillId="9" borderId="9" xfId="0" applyFont="1" applyFill="1" applyBorder="1" applyAlignment="1">
      <alignment horizontal="center" vertical="center"/>
    </xf>
    <xf numFmtId="0" fontId="7" fillId="9" borderId="8" xfId="0" applyFont="1" applyFill="1" applyBorder="1" applyAlignment="1">
      <alignment horizontal="center" vertical="center"/>
    </xf>
    <xf numFmtId="0" fontId="7" fillId="9" borderId="8" xfId="0" applyFont="1" applyFill="1" applyBorder="1" applyAlignment="1">
      <alignment horizontal="center" vertical="center" wrapText="1"/>
    </xf>
    <xf numFmtId="0" fontId="8" fillId="10" borderId="11" xfId="0" applyFont="1" applyFill="1" applyBorder="1" applyAlignment="1">
      <alignment vertical="center"/>
    </xf>
    <xf numFmtId="1" fontId="9" fillId="11" borderId="12" xfId="0" applyNumberFormat="1" applyFont="1" applyFill="1" applyBorder="1" applyAlignment="1">
      <alignment horizontal="right"/>
    </xf>
    <xf numFmtId="0" fontId="10" fillId="11" borderId="12" xfId="0" applyFont="1" applyFill="1" applyBorder="1" applyAlignment="1">
      <alignment horizontal="right"/>
    </xf>
    <xf numFmtId="1" fontId="11" fillId="11" borderId="12" xfId="0" applyNumberFormat="1" applyFont="1" applyFill="1" applyBorder="1" applyAlignment="1">
      <alignment horizontal="right"/>
    </xf>
    <xf numFmtId="0" fontId="12" fillId="10" borderId="11" xfId="0" applyFont="1" applyFill="1" applyBorder="1" applyAlignment="1">
      <alignment horizontal="right"/>
    </xf>
    <xf numFmtId="0" fontId="12" fillId="11" borderId="11" xfId="0" applyFont="1" applyFill="1" applyBorder="1" applyAlignment="1">
      <alignment horizontal="right"/>
    </xf>
    <xf numFmtId="1" fontId="10" fillId="11" borderId="11" xfId="0" applyNumberFormat="1" applyFont="1" applyFill="1" applyBorder="1" applyAlignment="1">
      <alignment horizontal="right"/>
    </xf>
    <xf numFmtId="164" fontId="13" fillId="10" borderId="11" xfId="0" applyNumberFormat="1" applyFont="1" applyFill="1" applyBorder="1" applyAlignment="1">
      <alignment vertical="center"/>
    </xf>
    <xf numFmtId="0" fontId="7" fillId="2" borderId="8" xfId="0" applyNumberFormat="1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164" fontId="12" fillId="11" borderId="12" xfId="0" applyNumberFormat="1" applyFont="1" applyFill="1" applyBorder="1" applyAlignment="1"/>
    <xf numFmtId="0" fontId="12" fillId="11" borderId="12" xfId="0" applyFont="1" applyFill="1" applyBorder="1" applyAlignment="1">
      <alignment horizontal="right"/>
    </xf>
    <xf numFmtId="164" fontId="12" fillId="11" borderId="11" xfId="0" applyNumberFormat="1" applyFont="1" applyFill="1" applyBorder="1" applyAlignment="1"/>
    <xf numFmtId="164" fontId="14" fillId="2" borderId="11" xfId="0" applyNumberFormat="1" applyFont="1" applyFill="1" applyBorder="1" applyAlignment="1">
      <alignment vertical="center"/>
    </xf>
    <xf numFmtId="0" fontId="14" fillId="2" borderId="11" xfId="0" applyNumberFormat="1" applyFont="1" applyFill="1" applyBorder="1" applyAlignment="1">
      <alignment vertical="center"/>
    </xf>
    <xf numFmtId="0" fontId="14" fillId="2" borderId="11" xfId="0" applyFont="1" applyFill="1" applyBorder="1" applyAlignment="1">
      <alignment vertical="center"/>
    </xf>
    <xf numFmtId="0" fontId="8" fillId="2" borderId="11" xfId="0" applyFont="1" applyFill="1" applyBorder="1" applyAlignment="1">
      <alignment vertical="center"/>
    </xf>
    <xf numFmtId="0" fontId="7" fillId="9" borderId="11" xfId="0" applyFont="1" applyFill="1" applyBorder="1" applyAlignment="1">
      <alignment vertical="center"/>
    </xf>
    <xf numFmtId="164" fontId="14" fillId="6" borderId="11" xfId="0" applyNumberFormat="1" applyFont="1" applyFill="1" applyBorder="1" applyAlignment="1">
      <alignment vertical="center"/>
    </xf>
    <xf numFmtId="164" fontId="0" fillId="6" borderId="11" xfId="0" applyNumberFormat="1" applyFill="1" applyBorder="1">
      <alignment vertical="center"/>
    </xf>
    <xf numFmtId="0" fontId="0" fillId="6" borderId="11" xfId="0" applyFill="1" applyBorder="1">
      <alignment vertical="center"/>
    </xf>
    <xf numFmtId="0" fontId="7" fillId="9" borderId="10" xfId="0" applyFont="1" applyFill="1" applyBorder="1" applyAlignment="1">
      <alignment horizontal="center" vertical="center"/>
    </xf>
    <xf numFmtId="0" fontId="7" fillId="9" borderId="8" xfId="0" applyFont="1" applyFill="1" applyBorder="1" applyAlignment="1">
      <alignment horizontal="center" vertical="center"/>
    </xf>
    <xf numFmtId="49" fontId="6" fillId="5" borderId="1" xfId="0" applyNumberFormat="1" applyFont="1" applyFill="1" applyBorder="1" applyAlignment="1"/>
    <xf numFmtId="0" fontId="2" fillId="6" borderId="2" xfId="0" applyFont="1" applyFill="1" applyBorder="1" applyAlignment="1"/>
    <xf numFmtId="0" fontId="2" fillId="6" borderId="3" xfId="0" applyFont="1" applyFill="1" applyBorder="1" applyAlignment="1"/>
    <xf numFmtId="49" fontId="6" fillId="5" borderId="5" xfId="0" applyNumberFormat="1" applyFont="1" applyFill="1" applyBorder="1" applyAlignment="1"/>
    <xf numFmtId="0" fontId="2" fillId="6" borderId="6" xfId="0" applyFont="1" applyFill="1" applyBorder="1" applyAlignment="1"/>
    <xf numFmtId="0" fontId="2" fillId="6" borderId="7" xfId="0" applyFont="1" applyFill="1" applyBorder="1" applyAlignment="1"/>
    <xf numFmtId="0" fontId="7" fillId="9" borderId="0" xfId="0" applyFont="1" applyFill="1" applyBorder="1" applyAlignment="1">
      <alignment horizontal="center" vertical="center"/>
    </xf>
    <xf numFmtId="0" fontId="7" fillId="9" borderId="9" xfId="0" applyFont="1" applyFill="1" applyBorder="1" applyAlignment="1">
      <alignment horizontal="center" vertical="center"/>
    </xf>
    <xf numFmtId="0" fontId="7" fillId="8" borderId="8" xfId="0" applyFont="1" applyFill="1" applyBorder="1" applyAlignment="1" applyProtection="1">
      <alignment horizontal="center" wrapText="1"/>
    </xf>
    <xf numFmtId="0" fontId="7" fillId="8" borderId="11" xfId="0" applyFont="1" applyFill="1" applyBorder="1" applyAlignment="1" applyProtection="1">
      <alignment horizontal="center" wrapText="1"/>
    </xf>
    <xf numFmtId="49" fontId="1" fillId="3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/>
    <xf numFmtId="49" fontId="3" fillId="0" borderId="0" xfId="0" applyNumberFormat="1" applyFont="1" applyFill="1" applyAlignment="1">
      <alignment horizontal="center"/>
    </xf>
    <xf numFmtId="0" fontId="4" fillId="0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tabSelected="1" zoomScale="66" zoomScaleNormal="66" workbookViewId="0">
      <selection activeCell="S11" sqref="S11"/>
    </sheetView>
  </sheetViews>
  <sheetFormatPr defaultColWidth="8.73046875" defaultRowHeight="14.25"/>
  <cols>
    <col min="1" max="1" width="24.9296875" customWidth="1"/>
    <col min="2" max="2" width="14.73046875" customWidth="1"/>
    <col min="3" max="3" width="28.73046875" customWidth="1"/>
    <col min="4" max="4" width="16.33203125" customWidth="1"/>
    <col min="5" max="5" width="14" customWidth="1"/>
    <col min="6" max="6" width="18.06640625" customWidth="1"/>
    <col min="7" max="7" width="11.53125" customWidth="1"/>
    <col min="8" max="8" width="13.06640625" customWidth="1"/>
    <col min="9" max="9" width="14.19921875" customWidth="1"/>
    <col min="10" max="10" width="14.796875" customWidth="1"/>
    <col min="11" max="11" width="18.06640625" customWidth="1"/>
    <col min="12" max="13" width="14.796875" customWidth="1"/>
    <col min="14" max="14" width="11.265625" customWidth="1"/>
  </cols>
  <sheetData>
    <row r="1" spans="1:14" ht="29.65">
      <c r="A1" s="43" t="s">
        <v>0</v>
      </c>
      <c r="B1" s="44"/>
      <c r="C1" s="44"/>
      <c r="D1" s="44"/>
      <c r="E1" s="44"/>
      <c r="F1" s="44"/>
    </row>
    <row r="2" spans="1:14" ht="15.4">
      <c r="A2" s="45"/>
      <c r="B2" s="46"/>
      <c r="C2" s="46"/>
      <c r="D2" s="46"/>
      <c r="E2" s="46"/>
      <c r="F2" s="46"/>
    </row>
    <row r="3" spans="1:14" ht="15.75">
      <c r="A3" s="2"/>
      <c r="B3" s="2"/>
      <c r="C3" s="2"/>
      <c r="D3" s="2"/>
      <c r="E3" s="2"/>
      <c r="F3" s="2"/>
    </row>
    <row r="4" spans="1:14" ht="15.75">
      <c r="A4" s="33" t="s">
        <v>1</v>
      </c>
      <c r="B4" s="34"/>
      <c r="C4" s="34"/>
      <c r="D4" s="35"/>
      <c r="E4" s="3">
        <v>1100000</v>
      </c>
      <c r="F4" s="2"/>
    </row>
    <row r="5" spans="1:14" ht="15.75">
      <c r="A5" s="33" t="s">
        <v>2</v>
      </c>
      <c r="B5" s="34"/>
      <c r="C5" s="34"/>
      <c r="D5" s="35"/>
      <c r="E5" s="3">
        <v>1000000</v>
      </c>
      <c r="F5" s="2"/>
    </row>
    <row r="6" spans="1:14" ht="15.75">
      <c r="A6" s="33" t="s">
        <v>3</v>
      </c>
      <c r="B6" s="34"/>
      <c r="C6" s="34"/>
      <c r="D6" s="35"/>
      <c r="E6" s="3"/>
      <c r="F6" s="2"/>
    </row>
    <row r="7" spans="1:14" ht="15.75">
      <c r="A7" s="33" t="s">
        <v>4</v>
      </c>
      <c r="B7" s="34"/>
      <c r="C7" s="34"/>
      <c r="D7" s="35"/>
      <c r="E7" s="3">
        <v>74957</v>
      </c>
      <c r="F7" s="2"/>
      <c r="G7" s="4"/>
      <c r="H7" s="4"/>
      <c r="I7" s="4"/>
      <c r="J7" s="4"/>
      <c r="K7" s="4"/>
      <c r="L7" s="4"/>
      <c r="M7" s="4"/>
      <c r="N7" s="4"/>
    </row>
    <row r="8" spans="1:14" ht="15.75">
      <c r="A8" s="36" t="s">
        <v>5</v>
      </c>
      <c r="B8" s="37"/>
      <c r="C8" s="37"/>
      <c r="D8" s="38"/>
      <c r="E8" s="3">
        <f>E4/E7</f>
        <v>14.675080379417533</v>
      </c>
      <c r="F8" s="2"/>
      <c r="G8" s="4"/>
      <c r="H8" s="4"/>
      <c r="I8" s="4"/>
      <c r="J8" s="4"/>
      <c r="K8" s="4"/>
      <c r="L8" s="4"/>
      <c r="M8" s="4"/>
      <c r="N8" s="4"/>
    </row>
    <row r="9" spans="1:14">
      <c r="A9" s="5"/>
      <c r="B9" s="5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>
      <c r="A11" s="5"/>
      <c r="B11" s="5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spans="1:14">
      <c r="A12" s="41" t="s">
        <v>6</v>
      </c>
      <c r="B12" s="41" t="s">
        <v>7</v>
      </c>
      <c r="C12" s="39"/>
      <c r="D12" s="39"/>
      <c r="E12" s="39"/>
      <c r="F12" s="39"/>
      <c r="G12" s="39"/>
      <c r="H12" s="39"/>
      <c r="I12" s="40"/>
      <c r="J12" s="7"/>
      <c r="K12" s="7"/>
      <c r="L12" s="7"/>
      <c r="M12" s="31" t="s">
        <v>8</v>
      </c>
      <c r="N12" s="31" t="s">
        <v>9</v>
      </c>
    </row>
    <row r="13" spans="1:14" ht="54">
      <c r="A13" s="42"/>
      <c r="B13" s="42"/>
      <c r="C13" s="8" t="s">
        <v>10</v>
      </c>
      <c r="D13" s="9" t="s">
        <v>11</v>
      </c>
      <c r="E13" s="9" t="s">
        <v>12</v>
      </c>
      <c r="F13" s="8" t="s">
        <v>13</v>
      </c>
      <c r="G13" s="9" t="s">
        <v>14</v>
      </c>
      <c r="H13" s="9" t="s">
        <v>15</v>
      </c>
      <c r="I13" s="9" t="s">
        <v>16</v>
      </c>
      <c r="J13" s="9" t="s">
        <v>17</v>
      </c>
      <c r="K13" s="9" t="s">
        <v>18</v>
      </c>
      <c r="L13" s="9" t="s">
        <v>19</v>
      </c>
      <c r="M13" s="32"/>
      <c r="N13" s="32"/>
    </row>
    <row r="14" spans="1:14">
      <c r="A14" s="10" t="s">
        <v>20</v>
      </c>
      <c r="B14" s="11">
        <v>437059</v>
      </c>
      <c r="C14" s="12">
        <v>82950</v>
      </c>
      <c r="D14" s="13">
        <v>10238</v>
      </c>
      <c r="E14" s="14">
        <v>94888</v>
      </c>
      <c r="F14" s="15">
        <v>19445</v>
      </c>
      <c r="G14" s="16">
        <v>0</v>
      </c>
      <c r="H14" s="16">
        <v>1295</v>
      </c>
      <c r="I14" s="16"/>
      <c r="J14" s="17">
        <v>0</v>
      </c>
      <c r="K14" s="17">
        <v>191722</v>
      </c>
      <c r="L14" s="17">
        <v>0</v>
      </c>
      <c r="M14" s="18">
        <f t="shared" ref="M14:M20" si="0">SUM(C14:L14)</f>
        <v>400538</v>
      </c>
      <c r="N14" s="19">
        <f t="shared" ref="N14:N17" si="1">B14-M14</f>
        <v>36521</v>
      </c>
    </row>
    <row r="15" spans="1:14">
      <c r="A15" s="10" t="s">
        <v>21</v>
      </c>
      <c r="B15" s="20">
        <v>416770</v>
      </c>
      <c r="C15" s="12">
        <v>82950</v>
      </c>
      <c r="D15" s="21">
        <v>9191</v>
      </c>
      <c r="E15" s="14">
        <v>93161</v>
      </c>
      <c r="F15" s="22">
        <v>30000</v>
      </c>
      <c r="G15" s="15">
        <v>0</v>
      </c>
      <c r="H15" s="16">
        <v>0</v>
      </c>
      <c r="I15" s="16">
        <v>0</v>
      </c>
      <c r="J15" s="17">
        <v>0</v>
      </c>
      <c r="K15" s="17">
        <v>113323</v>
      </c>
      <c r="L15" s="17">
        <v>0</v>
      </c>
      <c r="M15" s="18">
        <f t="shared" si="0"/>
        <v>328625</v>
      </c>
      <c r="N15" s="19">
        <f t="shared" si="1"/>
        <v>88145</v>
      </c>
    </row>
    <row r="16" spans="1:14">
      <c r="A16" s="10" t="s">
        <v>22</v>
      </c>
      <c r="B16" s="23">
        <v>398214</v>
      </c>
      <c r="C16" s="23">
        <v>82950</v>
      </c>
      <c r="D16" s="24">
        <v>9100</v>
      </c>
      <c r="E16" s="24">
        <v>85795</v>
      </c>
      <c r="F16" s="25">
        <v>0</v>
      </c>
      <c r="G16" s="24">
        <v>0</v>
      </c>
      <c r="H16" s="24">
        <v>1295</v>
      </c>
      <c r="I16" s="24">
        <v>0</v>
      </c>
      <c r="J16" s="23">
        <v>0</v>
      </c>
      <c r="K16" s="23">
        <v>143176</v>
      </c>
      <c r="L16" s="23">
        <v>0</v>
      </c>
      <c r="M16" s="18">
        <f t="shared" si="0"/>
        <v>322316</v>
      </c>
      <c r="N16" s="19">
        <f t="shared" si="1"/>
        <v>75898</v>
      </c>
    </row>
    <row r="17" spans="1:14">
      <c r="A17" s="10" t="s">
        <v>23</v>
      </c>
      <c r="B17" s="23">
        <v>283883</v>
      </c>
      <c r="C17" s="23">
        <v>82950</v>
      </c>
      <c r="D17" s="24">
        <v>11300</v>
      </c>
      <c r="E17" s="24"/>
      <c r="F17" s="25">
        <v>0</v>
      </c>
      <c r="G17" s="24">
        <v>0</v>
      </c>
      <c r="H17" s="24">
        <v>0</v>
      </c>
      <c r="I17" s="24">
        <v>0</v>
      </c>
      <c r="J17" s="23">
        <v>0</v>
      </c>
      <c r="K17" s="23">
        <v>78080</v>
      </c>
      <c r="L17" s="23">
        <v>0</v>
      </c>
      <c r="M17" s="18">
        <f t="shared" si="0"/>
        <v>172330</v>
      </c>
      <c r="N17" s="19">
        <f t="shared" si="1"/>
        <v>111553</v>
      </c>
    </row>
    <row r="18" spans="1:14">
      <c r="A18" s="10" t="s">
        <v>24</v>
      </c>
      <c r="B18" s="23">
        <v>346343</v>
      </c>
      <c r="C18" s="23">
        <v>82950</v>
      </c>
      <c r="D18" s="24"/>
      <c r="E18" s="24">
        <v>79952</v>
      </c>
      <c r="F18" s="25">
        <v>0</v>
      </c>
      <c r="G18" s="24">
        <v>0</v>
      </c>
      <c r="H18" s="24">
        <v>0</v>
      </c>
      <c r="I18" s="24">
        <v>0</v>
      </c>
      <c r="J18" s="23">
        <v>0</v>
      </c>
      <c r="K18" s="23">
        <v>113265</v>
      </c>
      <c r="L18" s="23">
        <v>0</v>
      </c>
      <c r="M18" s="18">
        <f t="shared" si="0"/>
        <v>276167</v>
      </c>
      <c r="N18" s="19">
        <f t="shared" ref="N18:N25" si="2">B18-M18</f>
        <v>70176</v>
      </c>
    </row>
    <row r="19" spans="1:14">
      <c r="A19" s="26" t="s">
        <v>25</v>
      </c>
      <c r="B19" s="23">
        <v>267754</v>
      </c>
      <c r="C19" s="23">
        <v>82950</v>
      </c>
      <c r="D19" s="24">
        <v>4784</v>
      </c>
      <c r="E19" s="24"/>
      <c r="F19" s="25">
        <v>7978</v>
      </c>
      <c r="G19" s="24">
        <v>0</v>
      </c>
      <c r="H19" s="24">
        <v>990</v>
      </c>
      <c r="I19" s="24">
        <v>0</v>
      </c>
      <c r="J19" s="23">
        <v>0</v>
      </c>
      <c r="K19" s="23">
        <v>90127</v>
      </c>
      <c r="L19" s="23">
        <v>9154</v>
      </c>
      <c r="M19" s="18">
        <f t="shared" si="0"/>
        <v>195983</v>
      </c>
      <c r="N19" s="19">
        <f t="shared" si="2"/>
        <v>71771</v>
      </c>
    </row>
    <row r="20" spans="1:14" ht="16.05" customHeight="1">
      <c r="A20" s="26" t="s">
        <v>26</v>
      </c>
      <c r="B20" s="23">
        <v>325296</v>
      </c>
      <c r="C20" s="23">
        <v>82950</v>
      </c>
      <c r="D20" s="23">
        <v>15943</v>
      </c>
      <c r="E20" s="23"/>
      <c r="F20" s="23">
        <v>29000</v>
      </c>
      <c r="G20" s="23">
        <v>0</v>
      </c>
      <c r="H20" s="23">
        <v>918</v>
      </c>
      <c r="I20" s="23">
        <v>0</v>
      </c>
      <c r="J20" s="23">
        <v>0</v>
      </c>
      <c r="K20" s="23">
        <v>72564</v>
      </c>
      <c r="L20" s="23">
        <v>12930</v>
      </c>
      <c r="M20" s="18">
        <f t="shared" si="0"/>
        <v>214305</v>
      </c>
      <c r="N20" s="19">
        <f t="shared" si="2"/>
        <v>110991</v>
      </c>
    </row>
    <row r="21" spans="1:14" ht="36" customHeight="1">
      <c r="A21" s="26" t="s">
        <v>27</v>
      </c>
      <c r="B21" s="23">
        <v>232827</v>
      </c>
      <c r="C21" s="23">
        <v>84530</v>
      </c>
      <c r="D21" s="23">
        <v>13795</v>
      </c>
      <c r="E21" s="23"/>
      <c r="F21" s="23">
        <v>5525</v>
      </c>
      <c r="G21" s="23">
        <v>0</v>
      </c>
      <c r="H21" s="23">
        <v>990</v>
      </c>
      <c r="I21" s="23">
        <v>0</v>
      </c>
      <c r="J21" s="23">
        <v>0</v>
      </c>
      <c r="K21" s="23">
        <v>53160</v>
      </c>
      <c r="L21" s="23">
        <v>0</v>
      </c>
      <c r="M21" s="18">
        <f>SUM(C21:L21)</f>
        <v>158000</v>
      </c>
      <c r="N21" s="19">
        <f t="shared" si="2"/>
        <v>74827</v>
      </c>
    </row>
    <row r="22" spans="1:14" ht="36" customHeight="1">
      <c r="A22" s="26" t="s">
        <v>28</v>
      </c>
      <c r="B22" s="23">
        <v>204487</v>
      </c>
      <c r="C22" s="23">
        <v>84530</v>
      </c>
      <c r="D22" s="23">
        <v>9889</v>
      </c>
      <c r="E22" s="23"/>
      <c r="F22" s="23">
        <v>0</v>
      </c>
      <c r="G22" s="23">
        <v>0</v>
      </c>
      <c r="H22" s="23">
        <v>990</v>
      </c>
      <c r="I22" s="23">
        <v>0</v>
      </c>
      <c r="J22" s="23">
        <v>0</v>
      </c>
      <c r="K22" s="23">
        <v>71576</v>
      </c>
      <c r="L22" s="23">
        <v>0</v>
      </c>
      <c r="M22" s="18">
        <f>SUM(C22:L22)</f>
        <v>166985</v>
      </c>
      <c r="N22" s="19">
        <f t="shared" si="2"/>
        <v>37502</v>
      </c>
    </row>
    <row r="23" spans="1:14" ht="36" customHeight="1">
      <c r="A23" s="26" t="s">
        <v>29</v>
      </c>
      <c r="B23" s="23">
        <v>310959</v>
      </c>
      <c r="C23" s="23">
        <v>84530</v>
      </c>
      <c r="D23" s="23">
        <v>9889</v>
      </c>
      <c r="E23" s="23">
        <v>80600</v>
      </c>
      <c r="F23" s="23">
        <v>0</v>
      </c>
      <c r="G23" s="23">
        <v>0</v>
      </c>
      <c r="H23" s="23">
        <v>1190</v>
      </c>
      <c r="I23" s="23">
        <v>0</v>
      </c>
      <c r="J23" s="23">
        <v>0</v>
      </c>
      <c r="K23" s="23">
        <v>62564</v>
      </c>
      <c r="L23" s="23">
        <v>0</v>
      </c>
      <c r="M23" s="18">
        <f>SUM(C23:L23)</f>
        <v>238773</v>
      </c>
      <c r="N23" s="19">
        <f t="shared" si="2"/>
        <v>72186</v>
      </c>
    </row>
    <row r="24" spans="1:14" ht="36" customHeight="1">
      <c r="A24" s="26" t="s">
        <v>30</v>
      </c>
      <c r="B24" s="23">
        <v>203595</v>
      </c>
      <c r="C24" s="23">
        <v>84530</v>
      </c>
      <c r="D24" s="23">
        <v>9135</v>
      </c>
      <c r="E24" s="23"/>
      <c r="F24" s="23">
        <v>5977</v>
      </c>
      <c r="G24" s="23">
        <v>0</v>
      </c>
      <c r="H24" s="23">
        <v>0</v>
      </c>
      <c r="I24" s="23">
        <v>0</v>
      </c>
      <c r="J24" s="23">
        <v>0</v>
      </c>
      <c r="K24" s="23">
        <v>55413</v>
      </c>
      <c r="L24" s="23">
        <v>0</v>
      </c>
      <c r="M24" s="18">
        <f>SUM(C24:L24)</f>
        <v>155055</v>
      </c>
      <c r="N24" s="19">
        <f t="shared" si="2"/>
        <v>48540</v>
      </c>
    </row>
    <row r="25" spans="1:14" s="1" customFormat="1" ht="36" customHeight="1">
      <c r="A25" s="26" t="s">
        <v>31</v>
      </c>
      <c r="B25" s="23">
        <v>306497</v>
      </c>
      <c r="C25" s="23">
        <v>84530</v>
      </c>
      <c r="D25" s="23">
        <v>9135</v>
      </c>
      <c r="E25" s="23">
        <v>80400</v>
      </c>
      <c r="F25" s="23">
        <v>5977</v>
      </c>
      <c r="G25" s="23">
        <v>0</v>
      </c>
      <c r="H25" s="23">
        <v>0</v>
      </c>
      <c r="I25" s="23">
        <v>0</v>
      </c>
      <c r="J25" s="23">
        <v>0</v>
      </c>
      <c r="K25" s="23">
        <v>25000</v>
      </c>
      <c r="L25" s="23">
        <v>0</v>
      </c>
      <c r="M25" s="18">
        <f>SUM(C25:L25)</f>
        <v>205042</v>
      </c>
      <c r="N25" s="19">
        <f t="shared" si="2"/>
        <v>101455</v>
      </c>
    </row>
    <row r="26" spans="1:14" ht="36" customHeight="1">
      <c r="A26" s="27" t="s">
        <v>32</v>
      </c>
      <c r="B26" s="28">
        <f t="shared" ref="B26:G26" si="3">SUM(B14:B25)</f>
        <v>3733684</v>
      </c>
      <c r="C26" s="28">
        <f t="shared" si="3"/>
        <v>1003300</v>
      </c>
      <c r="D26" s="28">
        <f t="shared" si="3"/>
        <v>112399</v>
      </c>
      <c r="E26" s="28">
        <f t="shared" si="3"/>
        <v>514796</v>
      </c>
      <c r="F26" s="28">
        <f t="shared" si="3"/>
        <v>103902</v>
      </c>
      <c r="G26" s="28">
        <f t="shared" si="3"/>
        <v>0</v>
      </c>
      <c r="H26" s="28"/>
      <c r="I26" s="28">
        <f>SUM(I14:I25)</f>
        <v>0</v>
      </c>
      <c r="J26" s="28"/>
      <c r="K26" s="28"/>
      <c r="L26" s="28"/>
      <c r="M26" s="28">
        <f>SUM(M14:M25)</f>
        <v>2834119</v>
      </c>
      <c r="N26" s="28">
        <f>SUM(N2:N25)</f>
        <v>899565</v>
      </c>
    </row>
    <row r="27" spans="1:14" ht="25.05" customHeight="1">
      <c r="A27" s="27" t="s">
        <v>33</v>
      </c>
      <c r="B27" s="29">
        <f>AVERAGE(B14:B23)</f>
        <v>322359.2</v>
      </c>
      <c r="C27" s="30"/>
      <c r="D27" s="30"/>
      <c r="E27" s="30"/>
      <c r="F27" s="30"/>
      <c r="G27" s="30"/>
      <c r="H27" s="30"/>
      <c r="I27" s="30"/>
      <c r="J27" s="29"/>
      <c r="K27" s="29"/>
      <c r="L27" s="29"/>
      <c r="M27" s="29">
        <f>AVERAGE(M14:M23)</f>
        <v>247402.2</v>
      </c>
      <c r="N27" s="30">
        <f>AVERAGE(N14:N23)</f>
        <v>74957</v>
      </c>
    </row>
  </sheetData>
  <mergeCells count="12">
    <mergeCell ref="A1:F1"/>
    <mergeCell ref="A2:F2"/>
    <mergeCell ref="A4:D4"/>
    <mergeCell ref="A5:D5"/>
    <mergeCell ref="A6:D6"/>
    <mergeCell ref="M12:M13"/>
    <mergeCell ref="N12:N13"/>
    <mergeCell ref="A7:D7"/>
    <mergeCell ref="A8:D8"/>
    <mergeCell ref="C12:I12"/>
    <mergeCell ref="A12:A13"/>
    <mergeCell ref="B12:B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Ольга</dc:creator>
  <cp:lastModifiedBy>Пользователь</cp:lastModifiedBy>
  <dcterms:created xsi:type="dcterms:W3CDTF">2025-11-05T10:57:00Z</dcterms:created>
  <dcterms:modified xsi:type="dcterms:W3CDTF">2026-06-04T10:29:10Z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133E769C5AC0470CB90871BF70C3BC67_13</vt:lpwstr>
  </property>
  <property fmtid="{D5CDD505-2E9C-101B-9397-08002B2CF9AE}" pid="3" name="KSOProductBuildVer">
    <vt:lpwstr>1049-12.1.0.26372</vt:lpwstr>
  </property>
  <property fmtid="{D5CDD505-2E9C-101B-9397-08002B2CF9AE}" pid="4" name="CalculationRule">
    <vt:i4>0</vt:i4>
  </property>
</Properties>
</file>